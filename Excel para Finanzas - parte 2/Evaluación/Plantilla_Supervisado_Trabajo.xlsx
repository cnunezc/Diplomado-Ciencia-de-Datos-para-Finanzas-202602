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atos_Originales" sheetId="1" state="visible" r:id="rId1"/>
    <sheet xmlns:r="http://schemas.openxmlformats.org/officeDocument/2006/relationships" name="2_Datos_Escalados" sheetId="2" state="visible" r:id="rId2"/>
    <sheet xmlns:r="http://schemas.openxmlformats.org/officeDocument/2006/relationships" name="3_Train_NN" sheetId="3" state="visible" r:id="rId3"/>
    <sheet xmlns:r="http://schemas.openxmlformats.org/officeDocument/2006/relationships" name="5_Metricas_Evalu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Edad_o</t>
        </is>
      </c>
      <c r="B1" t="inlineStr">
        <is>
          <t>Ingreso_o</t>
        </is>
      </c>
      <c r="C1" t="inlineStr">
        <is>
          <t>Deuda_Ingreso_o</t>
        </is>
      </c>
      <c r="D1" t="inlineStr">
        <is>
          <t>Default_Real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Edad_S</t>
        </is>
      </c>
      <c r="B1" t="inlineStr">
        <is>
          <t>Ingreso_S</t>
        </is>
      </c>
      <c r="C1" t="inlineStr">
        <is>
          <t>Deuda_S</t>
        </is>
      </c>
      <c r="D1" t="inlineStr">
        <is>
          <t>Default_Real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H1" t="inlineStr">
        <is>
          <t>Pesos W1 (H1)</t>
        </is>
      </c>
      <c r="I1" t="inlineStr">
        <is>
          <t>Pesos W1 (H2)</t>
        </is>
      </c>
      <c r="K1" t="inlineStr">
        <is>
          <t>Pesos W2</t>
        </is>
      </c>
    </row>
    <row r="2">
      <c r="H2" t="n">
        <v>0.5</v>
      </c>
      <c r="I2" t="n">
        <v>-0.5</v>
      </c>
      <c r="K2" t="n">
        <v>0.7</v>
      </c>
    </row>
    <row r="3">
      <c r="H3" t="n">
        <v>-0.2</v>
      </c>
      <c r="I3" t="n">
        <v>0.8</v>
      </c>
      <c r="K3" t="n">
        <v>-0.4</v>
      </c>
    </row>
    <row r="4">
      <c r="H4" t="n">
        <v>0.9</v>
      </c>
      <c r="I4" t="n">
        <v>0.1</v>
      </c>
    </row>
    <row r="5">
      <c r="H5" t="inlineStr">
        <is>
          <t>Sesgos B1 (H1)</t>
        </is>
      </c>
      <c r="I5" t="inlineStr">
        <is>
          <t>Sesgos B1 (H2)</t>
        </is>
      </c>
      <c r="K5" t="inlineStr">
        <is>
          <t>Sesgo B2</t>
        </is>
      </c>
    </row>
    <row r="6">
      <c r="H6" t="n">
        <v>0.1</v>
      </c>
      <c r="I6" t="n">
        <v>-0.1</v>
      </c>
      <c r="K6" t="n">
        <v>0.2</v>
      </c>
    </row>
    <row r="9">
      <c r="A9" t="inlineStr">
        <is>
          <t>Edad_S</t>
        </is>
      </c>
      <c r="B9" t="inlineStr">
        <is>
          <t>Ingreso_S</t>
        </is>
      </c>
      <c r="C9" t="inlineStr">
        <is>
          <t>Deuda_S</t>
        </is>
      </c>
      <c r="D9" t="inlineStr">
        <is>
          <t>Y_Real</t>
        </is>
      </c>
      <c r="E9" t="inlineStr">
        <is>
          <t>Neurona_H1</t>
        </is>
      </c>
      <c r="F9" t="inlineStr">
        <is>
          <t>Neurona_H2</t>
        </is>
      </c>
      <c r="G9" t="inlineStr">
        <is>
          <t>Pred_Final</t>
        </is>
      </c>
      <c r="H9" t="inlineStr">
        <is>
          <t>Error_Sq</t>
        </is>
      </c>
    </row>
    <row r="10">
      <c r="A10" t="inlineStr"/>
      <c r="B10" t="inlineStr"/>
      <c r="C10" t="inlineStr"/>
      <c r="D10" t="inlineStr"/>
      <c r="E10">
        <f>IF(A10="", "", 1/(1+EXP(-(A10*$H$2 + B10*$H$3 + C10*$H$4 + $H$6))))</f>
        <v/>
      </c>
      <c r="F10">
        <f>IF(A10="", "", 1/(1+EXP(-(A10*$I$2 + B10*$I$3 + C10*$I$4 + $I$6))))</f>
        <v/>
      </c>
      <c r="G10">
        <f>IF(A10="", "", 1/(1+EXP(-(E10*$K$2 + F10*$K$3 + $K$6))))</f>
        <v/>
      </c>
      <c r="H10">
        <f>IF(A10="", "", (G10-D10)^2)</f>
        <v/>
      </c>
    </row>
    <row r="11">
      <c r="A11" t="inlineStr"/>
      <c r="B11" t="inlineStr"/>
      <c r="C11" t="inlineStr"/>
      <c r="D11" t="inlineStr"/>
      <c r="E11">
        <f>IF(A11="", "", 1/(1+EXP(-(A11*$H$2 + B11*$H$3 + C11*$H$4 + $H$6))))</f>
        <v/>
      </c>
      <c r="F11">
        <f>IF(A11="", "", 1/(1+EXP(-(A11*$I$2 + B11*$I$3 + C11*$I$4 + $I$6))))</f>
        <v/>
      </c>
      <c r="G11">
        <f>IF(A11="", "", 1/(1+EXP(-(E11*$K$2 + F11*$K$3 + $K$6))))</f>
        <v/>
      </c>
      <c r="H11">
        <f>IF(A11="", "", (G11-D11)^2)</f>
        <v/>
      </c>
    </row>
    <row r="12">
      <c r="A12" t="inlineStr"/>
      <c r="B12" t="inlineStr"/>
      <c r="C12" t="inlineStr"/>
      <c r="D12" t="inlineStr"/>
      <c r="E12">
        <f>IF(A12="", "", 1/(1+EXP(-(A12*$H$2 + B12*$H$3 + C12*$H$4 + $H$6))))</f>
        <v/>
      </c>
      <c r="F12">
        <f>IF(A12="", "", 1/(1+EXP(-(A12*$I$2 + B12*$I$3 + C12*$I$4 + $I$6))))</f>
        <v/>
      </c>
      <c r="G12">
        <f>IF(A12="", "", 1/(1+EXP(-(E12*$K$2 + F12*$K$3 + $K$6))))</f>
        <v/>
      </c>
      <c r="H12">
        <f>IF(A12="", "", (G12-D12)^2)</f>
        <v/>
      </c>
    </row>
    <row r="13">
      <c r="A13" t="inlineStr"/>
      <c r="B13" t="inlineStr"/>
      <c r="C13" t="inlineStr"/>
      <c r="D13" t="inlineStr"/>
      <c r="E13">
        <f>IF(A13="", "", 1/(1+EXP(-(A13*$H$2 + B13*$H$3 + C13*$H$4 + $H$6))))</f>
        <v/>
      </c>
      <c r="F13">
        <f>IF(A13="", "", 1/(1+EXP(-(A13*$I$2 + B13*$I$3 + C13*$I$4 + $I$6))))</f>
        <v/>
      </c>
      <c r="G13">
        <f>IF(A13="", "", 1/(1+EXP(-(E13*$K$2 + F13*$K$3 + $K$6))))</f>
        <v/>
      </c>
      <c r="H13">
        <f>IF(A13="", "", (G13-D13)^2)</f>
        <v/>
      </c>
    </row>
    <row r="14">
      <c r="A14" t="inlineStr"/>
      <c r="B14" t="inlineStr"/>
      <c r="C14" t="inlineStr"/>
      <c r="D14" t="inlineStr"/>
      <c r="E14">
        <f>IF(A14="", "", 1/(1+EXP(-(A14*$H$2 + B14*$H$3 + C14*$H$4 + $H$6))))</f>
        <v/>
      </c>
      <c r="F14">
        <f>IF(A14="", "", 1/(1+EXP(-(A14*$I$2 + B14*$I$3 + C14*$I$4 + $I$6))))</f>
        <v/>
      </c>
      <c r="G14">
        <f>IF(A14="", "", 1/(1+EXP(-(E14*$K$2 + F14*$K$3 + $K$6))))</f>
        <v/>
      </c>
      <c r="H14">
        <f>IF(A14="", "", (G14-D14)^2)</f>
        <v/>
      </c>
    </row>
    <row r="15">
      <c r="A15" t="inlineStr"/>
      <c r="B15" t="inlineStr"/>
      <c r="C15" t="inlineStr"/>
      <c r="D15" t="inlineStr"/>
      <c r="E15">
        <f>IF(A15="", "", 1/(1+EXP(-(A15*$H$2 + B15*$H$3 + C15*$H$4 + $H$6))))</f>
        <v/>
      </c>
      <c r="F15">
        <f>IF(A15="", "", 1/(1+EXP(-(A15*$I$2 + B15*$I$3 + C15*$I$4 + $I$6))))</f>
        <v/>
      </c>
      <c r="G15">
        <f>IF(A15="", "", 1/(1+EXP(-(E15*$K$2 + F15*$K$3 + $K$6))))</f>
        <v/>
      </c>
      <c r="H15">
        <f>IF(A15="", "", (G15-D15)^2)</f>
        <v/>
      </c>
    </row>
    <row r="16">
      <c r="A16" t="inlineStr"/>
      <c r="B16" t="inlineStr"/>
      <c r="C16" t="inlineStr"/>
      <c r="D16" t="inlineStr"/>
      <c r="E16">
        <f>IF(A16="", "", 1/(1+EXP(-(A16*$H$2 + B16*$H$3 + C16*$H$4 + $H$6))))</f>
        <v/>
      </c>
      <c r="F16">
        <f>IF(A16="", "", 1/(1+EXP(-(A16*$I$2 + B16*$I$3 + C16*$I$4 + $I$6))))</f>
        <v/>
      </c>
      <c r="G16">
        <f>IF(A16="", "", 1/(1+EXP(-(E16*$K$2 + F16*$K$3 + $K$6))))</f>
        <v/>
      </c>
      <c r="H16">
        <f>IF(A16="", "", (G16-D16)^2)</f>
        <v/>
      </c>
    </row>
    <row r="17">
      <c r="A17" t="inlineStr"/>
      <c r="B17" t="inlineStr"/>
      <c r="C17" t="inlineStr"/>
      <c r="D17" t="inlineStr"/>
      <c r="E17">
        <f>IF(A17="", "", 1/(1+EXP(-(A17*$H$2 + B17*$H$3 + C17*$H$4 + $H$6))))</f>
        <v/>
      </c>
      <c r="F17">
        <f>IF(A17="", "", 1/(1+EXP(-(A17*$I$2 + B17*$I$3 + C17*$I$4 + $I$6))))</f>
        <v/>
      </c>
      <c r="G17">
        <f>IF(A17="", "", 1/(1+EXP(-(E17*$K$2 + F17*$K$3 + $K$6))))</f>
        <v/>
      </c>
      <c r="H17">
        <f>IF(A17="", "", (G17-D17)^2)</f>
        <v/>
      </c>
    </row>
    <row r="19">
      <c r="G19" s="1" t="inlineStr">
        <is>
          <t>Error Total Train:</t>
        </is>
      </c>
      <c r="H19" s="2">
        <f>SUM(H10:H17)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4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Umbral de Decisión (Threshold):</t>
        </is>
      </c>
      <c r="C2" s="3" t="n">
        <v>0.5</v>
      </c>
    </row>
    <row r="4">
      <c r="B4" t="inlineStr">
        <is>
          <t>MATRIZ DE CONFUSIÓN</t>
        </is>
      </c>
    </row>
    <row r="5">
      <c r="B5" t="inlineStr">
        <is>
          <t>Real \ Pred</t>
        </is>
      </c>
      <c r="C5" t="inlineStr">
        <is>
          <t>Positivo (1)</t>
        </is>
      </c>
      <c r="D5" t="inlineStr">
        <is>
          <t>Negativo (0)</t>
        </is>
      </c>
    </row>
    <row r="6">
      <c r="B6" t="inlineStr">
        <is>
          <t>Positivo (1)</t>
        </is>
      </c>
      <c r="C6">
        <f>COUNTIFS('3_Train_NN'!$D$10:$D$17, 1, '3_Train_NN'!$G$10:$G$17, "&gt;="&amp;$C$2)</f>
        <v/>
      </c>
      <c r="D6">
        <f>COUNTIFS('3_Train_NN'!$D$10:$D$17, 1, '3_Train_NN'!$G$10:$G$17, "&lt;"&amp;$C$2)</f>
        <v/>
      </c>
    </row>
    <row r="7">
      <c r="B7" t="inlineStr">
        <is>
          <t>Negativo (0)</t>
        </is>
      </c>
      <c r="C7">
        <f>COUNTIFS('3_Train_NN'!$D$10:$D$17, 0, '3_Train_NN'!$G$10:$G$17, "&gt;="&amp;$C$2)</f>
        <v/>
      </c>
      <c r="D7">
        <f>COUNTIFS('3_Train_NN'!$D$10:$D$17, 0, '3_Train_NN'!$G$10:$G$17, "&lt;"&amp;$C$2)</f>
        <v/>
      </c>
    </row>
    <row r="10">
      <c r="B10" s="1" t="inlineStr">
        <is>
          <t>Precision</t>
        </is>
      </c>
      <c r="C10" s="4">
        <f>IF((C6+C7)=0, 0, C6/(C6+C7))</f>
        <v/>
      </c>
    </row>
    <row r="11">
      <c r="B11" s="1" t="inlineStr">
        <is>
          <t>Recall (Sensibilidad)</t>
        </is>
      </c>
      <c r="C11" s="4">
        <f>IF((C6+D6)=0, 0, C6/(C6+D6))</f>
        <v/>
      </c>
    </row>
    <row r="12">
      <c r="B12" s="1" t="inlineStr">
        <is>
          <t>Especificidad</t>
        </is>
      </c>
      <c r="C12" s="4">
        <f>IF((C7+D7)=0, 0, D7/(C7+D7))</f>
        <v/>
      </c>
    </row>
    <row r="13">
      <c r="B13" s="1" t="inlineStr">
        <is>
          <t>F1-Score</t>
        </is>
      </c>
      <c r="C13" s="4">
        <f>IF((C10+C11)=0, 0, 2*(C10*C11)/(C10+C11))</f>
        <v/>
      </c>
    </row>
    <row r="14">
      <c r="B14" s="1" t="inlineStr">
        <is>
          <t>Exactitud (Accuracy)</t>
        </is>
      </c>
      <c r="C14" s="4">
        <f>(C6+D7)/(C6+D6+C7+D7)</f>
        <v/>
      </c>
    </row>
  </sheetData>
  <mergeCells count="1"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2026-08-31T22:37:44Z</dcterms:created>
  <dcterms:modified xmlns:dcterms="http://purl.org/dc/terms/" xmlns:xsi="http://www.w3.org/2001/XMLSchema-instance" xsi:type="dcterms:W3CDTF">2026-08-31T22:37:44Z</dcterms:modified>
</cp:coreProperties>
</file>