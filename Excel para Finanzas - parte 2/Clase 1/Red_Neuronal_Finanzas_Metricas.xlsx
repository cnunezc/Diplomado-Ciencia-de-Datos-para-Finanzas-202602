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uta\OneDrive\Escritorio\Documents\FEN - Diplomado Finanzas para Ciencia de Datos\Diplomado Ciencia de Datos para Finanzas 202602\Excel para Finanzas - parte 2\Clase 1\"/>
    </mc:Choice>
  </mc:AlternateContent>
  <xr:revisionPtr revIDLastSave="0" documentId="8_{81D3C7A5-8426-4A0A-8C6E-759883EAB598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1_Datos_Originales" sheetId="1" r:id="rId1"/>
    <sheet name="2_Datos_Escalados" sheetId="2" r:id="rId2"/>
    <sheet name="3_Train_NN" sheetId="3" r:id="rId3"/>
    <sheet name="4_Test_NN" sheetId="4" r:id="rId4"/>
    <sheet name="5_Metricas_Evaluacion" sheetId="5" r:id="rId5"/>
  </sheets>
  <definedNames>
    <definedName name="solver_adj" localSheetId="2" hidden="1">'3_Train_NN'!$H$2:$I$4,'3_Train_NN'!$H$6:$I$6,'3_Train_NN'!$K$2:$K$3,'3_Train_NN'!$K$6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'3_Train_NN'!$H$46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C10" i="5" s="1"/>
  <c r="D7" i="5"/>
  <c r="C6" i="5"/>
  <c r="D6" i="5"/>
  <c r="C11" i="5" s="1"/>
  <c r="E10" i="3"/>
  <c r="I16" i="5"/>
  <c r="I15" i="5"/>
  <c r="I14" i="5"/>
  <c r="I13" i="5"/>
  <c r="I12" i="5"/>
  <c r="I11" i="5"/>
  <c r="I10" i="5"/>
  <c r="I9" i="5"/>
  <c r="I8" i="5"/>
  <c r="I7" i="5"/>
  <c r="I18" i="5" s="1"/>
  <c r="K6" i="4"/>
  <c r="I6" i="4"/>
  <c r="H6" i="4"/>
  <c r="I4" i="4"/>
  <c r="H4" i="4"/>
  <c r="K3" i="4"/>
  <c r="I3" i="4"/>
  <c r="H3" i="4"/>
  <c r="K2" i="4"/>
  <c r="I2" i="4"/>
  <c r="H2" i="4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C12" i="5" l="1"/>
  <c r="G34" i="3"/>
  <c r="H34" i="3" s="1"/>
  <c r="G40" i="3"/>
  <c r="H40" i="3" s="1"/>
  <c r="G16" i="3"/>
  <c r="H16" i="3" s="1"/>
  <c r="G22" i="3"/>
  <c r="H22" i="3" s="1"/>
  <c r="G28" i="3"/>
  <c r="H28" i="3" s="1"/>
  <c r="G15" i="3"/>
  <c r="H15" i="3" s="1"/>
  <c r="G21" i="3"/>
  <c r="H21" i="3" s="1"/>
  <c r="G41" i="3"/>
  <c r="H41" i="3" s="1"/>
  <c r="G27" i="3"/>
  <c r="H27" i="3" s="1"/>
  <c r="G14" i="3"/>
  <c r="H14" i="3" s="1"/>
  <c r="G33" i="3"/>
  <c r="H33" i="3" s="1"/>
  <c r="G35" i="3"/>
  <c r="H35" i="3" s="1"/>
  <c r="G20" i="3"/>
  <c r="H20" i="3" s="1"/>
  <c r="G26" i="3"/>
  <c r="H26" i="3" s="1"/>
  <c r="G32" i="3"/>
  <c r="H32" i="3" s="1"/>
  <c r="G38" i="3"/>
  <c r="H38" i="3" s="1"/>
  <c r="G39" i="3"/>
  <c r="H39" i="3" s="1"/>
  <c r="E20" i="4"/>
  <c r="F22" i="4"/>
  <c r="G11" i="3"/>
  <c r="H11" i="3" s="1"/>
  <c r="G17" i="3"/>
  <c r="H17" i="3" s="1"/>
  <c r="G23" i="3"/>
  <c r="H23" i="3" s="1"/>
  <c r="G29" i="3"/>
  <c r="H29" i="3" s="1"/>
  <c r="G13" i="3"/>
  <c r="H13" i="3" s="1"/>
  <c r="G19" i="3"/>
  <c r="H19" i="3" s="1"/>
  <c r="G25" i="3"/>
  <c r="H25" i="3" s="1"/>
  <c r="G31" i="3"/>
  <c r="H31" i="3" s="1"/>
  <c r="G37" i="3"/>
  <c r="H37" i="3" s="1"/>
  <c r="G12" i="3"/>
  <c r="H12" i="3" s="1"/>
  <c r="G18" i="3"/>
  <c r="H18" i="3" s="1"/>
  <c r="G24" i="3"/>
  <c r="H24" i="3" s="1"/>
  <c r="G30" i="3"/>
  <c r="H30" i="3" s="1"/>
  <c r="G36" i="3"/>
  <c r="H36" i="3" s="1"/>
  <c r="G42" i="3"/>
  <c r="H42" i="3" s="1"/>
  <c r="G43" i="3"/>
  <c r="H43" i="3" s="1"/>
  <c r="G44" i="3"/>
  <c r="H44" i="3" s="1"/>
  <c r="G10" i="3"/>
  <c r="E14" i="4"/>
  <c r="E17" i="4"/>
  <c r="E22" i="4"/>
  <c r="F11" i="4"/>
  <c r="F14" i="4"/>
  <c r="F17" i="4"/>
  <c r="F20" i="4"/>
  <c r="F23" i="4"/>
  <c r="E12" i="4"/>
  <c r="E15" i="4"/>
  <c r="E18" i="4"/>
  <c r="E21" i="4"/>
  <c r="E24" i="4"/>
  <c r="F12" i="4"/>
  <c r="F15" i="4"/>
  <c r="F18" i="4"/>
  <c r="F21" i="4"/>
  <c r="F24" i="4"/>
  <c r="E11" i="4"/>
  <c r="E23" i="4"/>
  <c r="E10" i="4"/>
  <c r="E13" i="4"/>
  <c r="E16" i="4"/>
  <c r="E19" i="4"/>
  <c r="F10" i="4"/>
  <c r="F13" i="4"/>
  <c r="F16" i="4"/>
  <c r="F19" i="4"/>
  <c r="G11" i="4" l="1"/>
  <c r="H11" i="4" s="1"/>
  <c r="G20" i="4"/>
  <c r="H20" i="4" s="1"/>
  <c r="G22" i="4"/>
  <c r="H22" i="4" s="1"/>
  <c r="G10" i="4"/>
  <c r="H10" i="4" s="1"/>
  <c r="G13" i="4"/>
  <c r="H13" i="4" s="1"/>
  <c r="G12" i="4"/>
  <c r="H12" i="4" s="1"/>
  <c r="G18" i="4"/>
  <c r="H18" i="4" s="1"/>
  <c r="H10" i="3"/>
  <c r="H46" i="3" s="1"/>
  <c r="G16" i="4"/>
  <c r="H16" i="4" s="1"/>
  <c r="G15" i="4"/>
  <c r="H15" i="4" s="1"/>
  <c r="G17" i="4"/>
  <c r="H17" i="4" s="1"/>
  <c r="G14" i="4"/>
  <c r="H14" i="4" s="1"/>
  <c r="G24" i="4"/>
  <c r="H24" i="4" s="1"/>
  <c r="G23" i="4"/>
  <c r="H23" i="4" s="1"/>
  <c r="G19" i="4"/>
  <c r="H19" i="4" s="1"/>
  <c r="G21" i="4"/>
  <c r="H21" i="4" s="1"/>
  <c r="C14" i="5" l="1"/>
  <c r="C13" i="5"/>
  <c r="H26" i="4"/>
</calcChain>
</file>

<file path=xl/sharedStrings.xml><?xml version="1.0" encoding="utf-8"?>
<sst xmlns="http://schemas.openxmlformats.org/spreadsheetml/2006/main" count="61" uniqueCount="42">
  <si>
    <t>Edad</t>
  </si>
  <si>
    <t>Ingreso</t>
  </si>
  <si>
    <t>Deuda_Ingreso</t>
  </si>
  <si>
    <t>Default_Real</t>
  </si>
  <si>
    <t>Pesos W1 (H1)</t>
  </si>
  <si>
    <t>Pesos W1 (H2)</t>
  </si>
  <si>
    <t>Pesos W2 (Salida)</t>
  </si>
  <si>
    <t>Instrucciones para Entrenamiento (Solver):</t>
  </si>
  <si>
    <t>1. Objetivo: H46 (Error Total) a Mínimo.</t>
  </si>
  <si>
    <t>2. Cambiando celdas: H2:I4, H6:I6, K2:K3, K6.</t>
  </si>
  <si>
    <t>Sesgos B1 (H1)</t>
  </si>
  <si>
    <t>Sesgos B1 (H2)</t>
  </si>
  <si>
    <t>Sesgo B2</t>
  </si>
  <si>
    <t>3. Método: GRG Nonlinear. Haz clic en "Resolver".</t>
  </si>
  <si>
    <t>Edad_S</t>
  </si>
  <si>
    <t>Ingreso_S</t>
  </si>
  <si>
    <t>Deuda_S</t>
  </si>
  <si>
    <t>Y_Real</t>
  </si>
  <si>
    <t>Neurona_H1</t>
  </si>
  <si>
    <t>Neurona_H2</t>
  </si>
  <si>
    <t>Pred_Final</t>
  </si>
  <si>
    <t>Error_Sq</t>
  </si>
  <si>
    <t>Error Total Train:</t>
  </si>
  <si>
    <t>Pesos W2</t>
  </si>
  <si>
    <t>Error Total Test:</t>
  </si>
  <si>
    <t>Umbral de Decisión (Threshold):</t>
  </si>
  <si>
    <t>MATRIZ DE CONFUSIÓN (TEST SET)</t>
  </si>
  <si>
    <t>CÁLCULO DINÁMICO DE AUC-ROC (CURVA ROC)</t>
  </si>
  <si>
    <t>Real \ Predicción</t>
  </si>
  <si>
    <t>Positivo (Default=1)</t>
  </si>
  <si>
    <t>Negativo (Pago=0)</t>
  </si>
  <si>
    <t>Umbral</t>
  </si>
  <si>
    <t>TPR (Recall)</t>
  </si>
  <si>
    <t>FPR (1-Especif)</t>
  </si>
  <si>
    <t>Área Trapecio</t>
  </si>
  <si>
    <t>MÉTRICAS PRINCIPALES</t>
  </si>
  <si>
    <t>Precision (Valor Predictivo Positivo)</t>
  </si>
  <si>
    <t>Recall (Sensibilidad / TPR)</t>
  </si>
  <si>
    <t>Especificidad (TNR)</t>
  </si>
  <si>
    <t>F1-Score (Media armónica)</t>
  </si>
  <si>
    <t>Exactitud (Accuracy)</t>
  </si>
  <si>
    <t>AUC Score Estimado: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</si>
</sst>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0" fontId="2" fillId="4" borderId="0" xfId="0" applyFont="1" applyFill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3" fillId="0" borderId="0" xfId="0" applyNumberFormat="1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="130" zoomScaleNormal="130" workbookViewId="0">
      <selection activeCell="B2" sqref="B2"/>
    </sheetView>
  </sheetViews>
  <sheetFormatPr baseColWidth="10" defaultColWidth="9.140625" defaultRowHeight="15" x14ac:dyDescent="0.25"/>
  <cols>
    <col min="1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44.967141530112329</v>
      </c>
      <c r="B2">
        <v>54861.259540921921</v>
      </c>
      <c r="C2">
        <v>0.15846292579495849</v>
      </c>
      <c r="D2">
        <v>0</v>
      </c>
    </row>
    <row r="3" spans="1:4" x14ac:dyDescent="0.25">
      <c r="A3">
        <v>38.617356988288151</v>
      </c>
      <c r="B3">
        <v>44223.76579375525</v>
      </c>
      <c r="C3">
        <v>0.2579354677234641</v>
      </c>
      <c r="D3">
        <v>0</v>
      </c>
    </row>
    <row r="4" spans="1:4" x14ac:dyDescent="0.25">
      <c r="A4">
        <v>46.476885381006923</v>
      </c>
      <c r="B4">
        <v>39846.169995410623</v>
      </c>
      <c r="C4">
        <v>0.26572854834732312</v>
      </c>
      <c r="D4">
        <v>0</v>
      </c>
    </row>
    <row r="5" spans="1:4" x14ac:dyDescent="0.25">
      <c r="A5">
        <v>55.230298564080258</v>
      </c>
      <c r="B5">
        <v>59175.144332613017</v>
      </c>
      <c r="C5">
        <v>0.21977227307783809</v>
      </c>
      <c r="D5">
        <v>0</v>
      </c>
    </row>
    <row r="6" spans="1:4" x14ac:dyDescent="0.25">
      <c r="A6">
        <v>37.658466252766637</v>
      </c>
      <c r="B6">
        <v>65464.992837439262</v>
      </c>
      <c r="C6">
        <v>0.28387142883339911</v>
      </c>
      <c r="D6">
        <v>0</v>
      </c>
    </row>
    <row r="7" spans="1:4" x14ac:dyDescent="0.25">
      <c r="A7">
        <v>37.658630430508197</v>
      </c>
      <c r="B7">
        <v>63969.201786742982</v>
      </c>
      <c r="C7">
        <v>0.34040508568145378</v>
      </c>
      <c r="D7">
        <v>0</v>
      </c>
    </row>
    <row r="8" spans="1:4" x14ac:dyDescent="0.25">
      <c r="A8">
        <v>55.792128155073911</v>
      </c>
      <c r="B8">
        <v>37411.737151660418</v>
      </c>
      <c r="C8">
        <v>0.48861859012105302</v>
      </c>
      <c r="D8">
        <v>1</v>
      </c>
    </row>
    <row r="9" spans="1:4" x14ac:dyDescent="0.25">
      <c r="A9">
        <v>47.674347291529088</v>
      </c>
      <c r="B9">
        <v>45361.81436223178</v>
      </c>
      <c r="C9">
        <v>0.31745778128318392</v>
      </c>
      <c r="D9">
        <v>0</v>
      </c>
    </row>
    <row r="10" spans="1:4" x14ac:dyDescent="0.25">
      <c r="A10">
        <v>35.305256140650478</v>
      </c>
      <c r="B10">
        <v>54968.951471053457</v>
      </c>
      <c r="C10">
        <v>0.32575503907227638</v>
      </c>
      <c r="D10">
        <v>0</v>
      </c>
    </row>
    <row r="11" spans="1:4" x14ac:dyDescent="0.25">
      <c r="A11">
        <v>45.42560043585965</v>
      </c>
      <c r="B11">
        <v>64633.17690683539</v>
      </c>
      <c r="C11">
        <v>0.29255540842338329</v>
      </c>
      <c r="D11">
        <v>0</v>
      </c>
    </row>
    <row r="12" spans="1:4" x14ac:dyDescent="0.25">
      <c r="A12">
        <v>35.365823071875383</v>
      </c>
      <c r="B12">
        <v>42812.386432320651</v>
      </c>
      <c r="C12">
        <v>0.1081228784700958</v>
      </c>
      <c r="D12">
        <v>0</v>
      </c>
    </row>
    <row r="13" spans="1:4" x14ac:dyDescent="0.25">
      <c r="A13">
        <v>35.342702464297432</v>
      </c>
      <c r="B13">
        <v>47215.115350042754</v>
      </c>
      <c r="C13">
        <v>0.29734861245507832</v>
      </c>
      <c r="D13">
        <v>0</v>
      </c>
    </row>
    <row r="14" spans="1:4" x14ac:dyDescent="0.25">
      <c r="A14">
        <v>42.419622715660338</v>
      </c>
      <c r="B14">
        <v>33404.975389909581</v>
      </c>
      <c r="C14">
        <v>0.30602302099410261</v>
      </c>
      <c r="D14">
        <v>0</v>
      </c>
    </row>
    <row r="15" spans="1:4" x14ac:dyDescent="0.25">
      <c r="A15">
        <v>20.86719755342202</v>
      </c>
      <c r="B15">
        <v>32056.900638789939</v>
      </c>
      <c r="C15">
        <v>0.54632421124852859</v>
      </c>
      <c r="D15">
        <v>1</v>
      </c>
    </row>
    <row r="16" spans="1:4" x14ac:dyDescent="0.25">
      <c r="A16">
        <v>22.75082167486967</v>
      </c>
      <c r="B16">
        <v>62187.887335912972</v>
      </c>
      <c r="C16">
        <v>0.28076390352188768</v>
      </c>
      <c r="D16">
        <v>0</v>
      </c>
    </row>
    <row r="17" spans="1:4" x14ac:dyDescent="0.25">
      <c r="A17">
        <v>34.377124707590269</v>
      </c>
      <c r="B17">
        <v>70343.600428562349</v>
      </c>
      <c r="C17">
        <v>0.33015473423336122</v>
      </c>
      <c r="D17">
        <v>0</v>
      </c>
    </row>
    <row r="18" spans="1:4" x14ac:dyDescent="0.25">
      <c r="A18">
        <v>29.871688796655761</v>
      </c>
      <c r="B18">
        <v>48919.848176295003</v>
      </c>
      <c r="C18">
        <v>0.29652882302947559</v>
      </c>
      <c r="D18">
        <v>0</v>
      </c>
    </row>
    <row r="19" spans="1:4" x14ac:dyDescent="0.25">
      <c r="A19">
        <v>43.142473325952743</v>
      </c>
      <c r="B19">
        <v>65052.993468380359</v>
      </c>
      <c r="C19">
        <v>0.1831321962380468</v>
      </c>
      <c r="D19">
        <v>0</v>
      </c>
    </row>
    <row r="20" spans="1:4" x14ac:dyDescent="0.25">
      <c r="A20">
        <v>30.91975924478789</v>
      </c>
      <c r="B20">
        <v>55424.54037571451</v>
      </c>
      <c r="C20">
        <v>0.41428228145150198</v>
      </c>
      <c r="D20">
        <v>0</v>
      </c>
    </row>
    <row r="21" spans="1:4" x14ac:dyDescent="0.25">
      <c r="A21">
        <v>25.87696298664709</v>
      </c>
      <c r="B21">
        <v>40323.203680923143</v>
      </c>
      <c r="C21">
        <v>0.37519330326867739</v>
      </c>
      <c r="D21">
        <v>0</v>
      </c>
    </row>
    <row r="22" spans="1:4" x14ac:dyDescent="0.25">
      <c r="A22">
        <v>54.656487689215538</v>
      </c>
      <c r="B22">
        <v>55420.934082626212</v>
      </c>
      <c r="C22">
        <v>0.3791031947043047</v>
      </c>
      <c r="D22">
        <v>0</v>
      </c>
    </row>
    <row r="23" spans="1:4" x14ac:dyDescent="0.25">
      <c r="A23">
        <v>37.742236995134647</v>
      </c>
      <c r="B23">
        <v>73070.548496989533</v>
      </c>
      <c r="C23">
        <v>0.2090612545205261</v>
      </c>
      <c r="D23">
        <v>0</v>
      </c>
    </row>
    <row r="24" spans="1:4" x14ac:dyDescent="0.25">
      <c r="A24">
        <v>40.675282046879239</v>
      </c>
      <c r="B24">
        <v>49462.609413350729</v>
      </c>
      <c r="C24">
        <v>0.4402794310936099</v>
      </c>
      <c r="D24">
        <v>0</v>
      </c>
    </row>
    <row r="25" spans="1:4" x14ac:dyDescent="0.25">
      <c r="A25">
        <v>25.75251813786543</v>
      </c>
      <c r="B25">
        <v>73469.654837210095</v>
      </c>
      <c r="C25">
        <v>0.1598148937207719</v>
      </c>
      <c r="D25">
        <v>0</v>
      </c>
    </row>
    <row r="26" spans="1:4" x14ac:dyDescent="0.25">
      <c r="A26">
        <v>34.556172754748182</v>
      </c>
      <c r="B26">
        <v>20000</v>
      </c>
      <c r="C26">
        <v>0.35868570938002697</v>
      </c>
      <c r="D26">
        <v>1</v>
      </c>
    </row>
    <row r="27" spans="1:4" x14ac:dyDescent="0.25">
      <c r="A27">
        <v>41.109225897098661</v>
      </c>
      <c r="B27">
        <v>62328.537565628358</v>
      </c>
      <c r="C27">
        <v>0.51904556258099788</v>
      </c>
      <c r="D27">
        <v>0</v>
      </c>
    </row>
    <row r="28" spans="1:4" x14ac:dyDescent="0.25">
      <c r="A28">
        <v>28.490064225776969</v>
      </c>
      <c r="B28">
        <v>51305.706023572573</v>
      </c>
      <c r="C28">
        <v>0.20094636748693109</v>
      </c>
      <c r="D28">
        <v>0</v>
      </c>
    </row>
    <row r="29" spans="1:4" x14ac:dyDescent="0.25">
      <c r="A29">
        <v>43.756980183456719</v>
      </c>
      <c r="B29">
        <v>45514.889743011991</v>
      </c>
      <c r="C29">
        <v>0.2433702270397228</v>
      </c>
      <c r="D29">
        <v>0</v>
      </c>
    </row>
    <row r="30" spans="1:4" x14ac:dyDescent="0.25">
      <c r="A30">
        <v>33.993613100811949</v>
      </c>
      <c r="B30">
        <v>51376.411648032532</v>
      </c>
      <c r="C30">
        <v>0.30996513650876412</v>
      </c>
      <c r="D30">
        <v>0</v>
      </c>
    </row>
    <row r="31" spans="1:4" x14ac:dyDescent="0.25">
      <c r="A31">
        <v>37.083062502067243</v>
      </c>
      <c r="B31">
        <v>20186.466280986609</v>
      </c>
      <c r="C31">
        <v>0.2496524345883801</v>
      </c>
      <c r="D31">
        <v>0</v>
      </c>
    </row>
    <row r="32" spans="1:4" x14ac:dyDescent="0.25">
      <c r="A32">
        <v>33.982933877706031</v>
      </c>
      <c r="B32">
        <v>46704.921682437322</v>
      </c>
      <c r="C32">
        <v>0.14493365689338669</v>
      </c>
      <c r="D32">
        <v>0</v>
      </c>
    </row>
    <row r="33" spans="1:4" x14ac:dyDescent="0.25">
      <c r="A33">
        <v>58.522781845089384</v>
      </c>
      <c r="B33">
        <v>55356.688572676198</v>
      </c>
      <c r="C33">
        <v>0.30685629748060272</v>
      </c>
      <c r="D33">
        <v>0</v>
      </c>
    </row>
    <row r="34" spans="1:4" x14ac:dyDescent="0.25">
      <c r="A34">
        <v>39.865027752620662</v>
      </c>
      <c r="B34">
        <v>72168.410671122736</v>
      </c>
      <c r="C34">
        <v>0.1937696286273895</v>
      </c>
      <c r="D34">
        <v>0</v>
      </c>
    </row>
    <row r="35" spans="1:4" x14ac:dyDescent="0.25">
      <c r="A35">
        <v>29.422890710440999</v>
      </c>
      <c r="B35">
        <v>42225.946725895286</v>
      </c>
      <c r="C35">
        <v>0.34735924306351817</v>
      </c>
      <c r="D35">
        <v>0</v>
      </c>
    </row>
    <row r="36" spans="1:4" x14ac:dyDescent="0.25">
      <c r="A36">
        <v>48.225449121031893</v>
      </c>
      <c r="B36">
        <v>37872.595956602177</v>
      </c>
      <c r="C36">
        <v>0.20805757657661969</v>
      </c>
      <c r="D36">
        <v>0</v>
      </c>
    </row>
    <row r="37" spans="1:4" x14ac:dyDescent="0.25">
      <c r="A37">
        <v>27.791563500289779</v>
      </c>
      <c r="B37">
        <v>42473.644346231951</v>
      </c>
      <c r="C37">
        <v>0.45499344050175389</v>
      </c>
      <c r="D37">
        <v>0</v>
      </c>
    </row>
    <row r="38" spans="1:4" x14ac:dyDescent="0.25">
      <c r="A38">
        <v>42.088635950047554</v>
      </c>
      <c r="B38">
        <v>63731.031765531108</v>
      </c>
      <c r="C38">
        <v>0.22167467076637631</v>
      </c>
      <c r="D38">
        <v>0</v>
      </c>
    </row>
    <row r="39" spans="1:4" x14ac:dyDescent="0.25">
      <c r="A39">
        <v>20.40329876120224</v>
      </c>
      <c r="B39">
        <v>54931.266644895273</v>
      </c>
      <c r="C39">
        <v>0.26779384837943238</v>
      </c>
      <c r="D39">
        <v>0</v>
      </c>
    </row>
    <row r="40" spans="1:4" x14ac:dyDescent="0.25">
      <c r="A40">
        <v>26.718139511015689</v>
      </c>
      <c r="B40">
        <v>42053.59694349442</v>
      </c>
      <c r="C40">
        <v>0.38135172173696702</v>
      </c>
      <c r="D40">
        <v>0</v>
      </c>
    </row>
    <row r="41" spans="1:4" x14ac:dyDescent="0.25">
      <c r="A41">
        <v>41.968612358691232</v>
      </c>
      <c r="B41">
        <v>57699.011496700339</v>
      </c>
      <c r="C41">
        <v>0.17691356835660449</v>
      </c>
      <c r="D41">
        <v>0</v>
      </c>
    </row>
    <row r="42" spans="1:4" x14ac:dyDescent="0.25">
      <c r="A42">
        <v>47.384665799954107</v>
      </c>
      <c r="B42">
        <v>51456.163240220609</v>
      </c>
      <c r="C42">
        <v>0.32274599346041288</v>
      </c>
      <c r="D42">
        <v>0</v>
      </c>
    </row>
    <row r="43" spans="1:4" x14ac:dyDescent="0.25">
      <c r="A43">
        <v>41.713682811899702</v>
      </c>
      <c r="B43">
        <v>64529.674857993326</v>
      </c>
      <c r="C43">
        <v>0.43071427542824281</v>
      </c>
      <c r="D43">
        <v>0</v>
      </c>
    </row>
    <row r="44" spans="1:4" x14ac:dyDescent="0.25">
      <c r="A44">
        <v>38.843517176117587</v>
      </c>
      <c r="B44">
        <v>39469.203591839723</v>
      </c>
      <c r="C44">
        <v>0.13925167654387721</v>
      </c>
      <c r="D44">
        <v>0</v>
      </c>
    </row>
    <row r="45" spans="1:4" x14ac:dyDescent="0.25">
      <c r="A45">
        <v>36.988963044107109</v>
      </c>
      <c r="B45">
        <v>45085.067801033467</v>
      </c>
      <c r="C45">
        <v>0.31846338585323042</v>
      </c>
      <c r="D45">
        <v>0</v>
      </c>
    </row>
    <row r="46" spans="1:4" x14ac:dyDescent="0.25">
      <c r="A46">
        <v>25.214780096325729</v>
      </c>
      <c r="B46">
        <v>44118.377703017642</v>
      </c>
      <c r="C46">
        <v>0.32598827942484232</v>
      </c>
      <c r="D46">
        <v>0</v>
      </c>
    </row>
    <row r="47" spans="1:4" x14ac:dyDescent="0.25">
      <c r="A47">
        <v>32.801557916052907</v>
      </c>
      <c r="B47">
        <v>28047.275778018218</v>
      </c>
      <c r="C47">
        <v>0.37818228717773111</v>
      </c>
      <c r="D47">
        <v>1</v>
      </c>
    </row>
    <row r="48" spans="1:4" x14ac:dyDescent="0.25">
      <c r="A48">
        <v>35.393612290402118</v>
      </c>
      <c r="B48">
        <v>54441.804155968639</v>
      </c>
      <c r="C48">
        <v>0.17630492891219179</v>
      </c>
      <c r="D48">
        <v>0</v>
      </c>
    </row>
    <row r="49" spans="1:4" x14ac:dyDescent="0.25">
      <c r="A49">
        <v>50.571222262189153</v>
      </c>
      <c r="B49">
        <v>53915.829082698343</v>
      </c>
      <c r="C49">
        <v>0.16795433869157239</v>
      </c>
      <c r="D49">
        <v>0</v>
      </c>
    </row>
    <row r="50" spans="1:4" x14ac:dyDescent="0.25">
      <c r="A50">
        <v>43.436182895684617</v>
      </c>
      <c r="B50">
        <v>50076.701849636913</v>
      </c>
      <c r="C50">
        <v>0.35219415656168968</v>
      </c>
      <c r="D50">
        <v>0</v>
      </c>
    </row>
    <row r="51" spans="1:4" x14ac:dyDescent="0.25">
      <c r="A51">
        <v>22.36959844637266</v>
      </c>
      <c r="B51">
        <v>46481.192999372797</v>
      </c>
      <c r="C51">
        <v>0.32969846732331859</v>
      </c>
      <c r="D5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D51" sqref="D2:D51"/>
    </sheetView>
  </sheetViews>
  <sheetFormatPr baseColWidth="10" defaultColWidth="9.140625" defaultRowHeight="15" x14ac:dyDescent="0.25"/>
  <cols>
    <col min="1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0.64439076245745497</v>
      </c>
      <c r="B2">
        <v>0.65198213167932406</v>
      </c>
      <c r="C2">
        <v>0.1148788092580177</v>
      </c>
      <c r="D2">
        <v>0</v>
      </c>
    </row>
    <row r="3" spans="1:4" x14ac:dyDescent="0.25">
      <c r="A3">
        <v>0.47781493224877641</v>
      </c>
      <c r="B3">
        <v>0.4530376316717436</v>
      </c>
      <c r="C3">
        <v>0.341880724788023</v>
      </c>
      <c r="D3">
        <v>0</v>
      </c>
    </row>
    <row r="4" spans="1:4" x14ac:dyDescent="0.25">
      <c r="A4">
        <v>0.68399633233289625</v>
      </c>
      <c r="B4">
        <v>0.37116697416194011</v>
      </c>
      <c r="C4">
        <v>0.35966497152786442</v>
      </c>
      <c r="D4">
        <v>0</v>
      </c>
    </row>
    <row r="5" spans="1:4" x14ac:dyDescent="0.25">
      <c r="A5">
        <v>0.91362728414329331</v>
      </c>
      <c r="B5">
        <v>0.73266125341341504</v>
      </c>
      <c r="C5">
        <v>0.25479017578478108</v>
      </c>
      <c r="D5">
        <v>0</v>
      </c>
    </row>
    <row r="6" spans="1:4" x14ac:dyDescent="0.25">
      <c r="A6">
        <v>0.45266005978077001</v>
      </c>
      <c r="B6">
        <v>0.85029523709959864</v>
      </c>
      <c r="C6">
        <v>0.40106804159851051</v>
      </c>
      <c r="D6">
        <v>0</v>
      </c>
    </row>
    <row r="7" spans="1:4" x14ac:dyDescent="0.25">
      <c r="A7">
        <v>0.45266436670542559</v>
      </c>
      <c r="B7">
        <v>0.82232065871022519</v>
      </c>
      <c r="C7">
        <v>0.53008101490372828</v>
      </c>
      <c r="D7">
        <v>0</v>
      </c>
    </row>
    <row r="8" spans="1:4" x14ac:dyDescent="0.25">
      <c r="A8">
        <v>0.92836593077596863</v>
      </c>
      <c r="B8">
        <v>0.32563773236747001</v>
      </c>
      <c r="C8">
        <v>0.86831253852745993</v>
      </c>
      <c r="D8">
        <v>1</v>
      </c>
    </row>
    <row r="9" spans="1:4" x14ac:dyDescent="0.25">
      <c r="A9">
        <v>0.71540971503504325</v>
      </c>
      <c r="B9">
        <v>0.47432163980572822</v>
      </c>
      <c r="C9">
        <v>0.47771398020583788</v>
      </c>
      <c r="D9">
        <v>0</v>
      </c>
    </row>
    <row r="10" spans="1:4" x14ac:dyDescent="0.25">
      <c r="A10">
        <v>0.39092758279681922</v>
      </c>
      <c r="B10">
        <v>0.65399620733512187</v>
      </c>
      <c r="C10">
        <v>0.49664878749289809</v>
      </c>
      <c r="D10">
        <v>0</v>
      </c>
    </row>
    <row r="11" spans="1:4" x14ac:dyDescent="0.25">
      <c r="A11">
        <v>0.65641765444700317</v>
      </c>
      <c r="B11">
        <v>0.83473845198220153</v>
      </c>
      <c r="C11">
        <v>0.42088536970868112</v>
      </c>
      <c r="D11">
        <v>0</v>
      </c>
    </row>
    <row r="12" spans="1:4" x14ac:dyDescent="0.25">
      <c r="A12">
        <v>0.39251645353495618</v>
      </c>
      <c r="B12">
        <v>0.42664173729517457</v>
      </c>
      <c r="C12">
        <v>0</v>
      </c>
      <c r="D12">
        <v>0</v>
      </c>
    </row>
    <row r="13" spans="1:4" x14ac:dyDescent="0.25">
      <c r="A13">
        <v>0.39190992360045879</v>
      </c>
      <c r="B13">
        <v>0.50898243934620391</v>
      </c>
      <c r="C13">
        <v>0.43182372993981849</v>
      </c>
      <c r="D13">
        <v>0</v>
      </c>
    </row>
    <row r="14" spans="1:4" x14ac:dyDescent="0.25">
      <c r="A14">
        <v>0.577560926154433</v>
      </c>
      <c r="B14">
        <v>0.25070248593751748</v>
      </c>
      <c r="C14">
        <v>0.45161921637529751</v>
      </c>
      <c r="D14">
        <v>0</v>
      </c>
    </row>
    <row r="15" spans="1:4" x14ac:dyDescent="0.25">
      <c r="A15">
        <v>1.216959818680919E-2</v>
      </c>
      <c r="B15">
        <v>0.22549052683241591</v>
      </c>
      <c r="C15">
        <v>1</v>
      </c>
      <c r="D15">
        <v>1</v>
      </c>
    </row>
    <row r="16" spans="1:4" x14ac:dyDescent="0.25">
      <c r="A16">
        <v>6.1583282976355798E-2</v>
      </c>
      <c r="B16">
        <v>0.78900616554109448</v>
      </c>
      <c r="C16">
        <v>0.39397649467918022</v>
      </c>
      <c r="D16">
        <v>0</v>
      </c>
    </row>
    <row r="17" spans="1:4" x14ac:dyDescent="0.25">
      <c r="A17">
        <v>0.3665796284707406</v>
      </c>
      <c r="B17">
        <v>0.94153591568591366</v>
      </c>
      <c r="C17">
        <v>0.50668913842745222</v>
      </c>
      <c r="D17">
        <v>0</v>
      </c>
    </row>
    <row r="18" spans="1:4" x14ac:dyDescent="0.25">
      <c r="A18">
        <v>0.24838715715575241</v>
      </c>
      <c r="B18">
        <v>0.54086468791209341</v>
      </c>
      <c r="C18">
        <v>0.42995292452623213</v>
      </c>
      <c r="D18">
        <v>0</v>
      </c>
    </row>
    <row r="19" spans="1:4" x14ac:dyDescent="0.25">
      <c r="A19">
        <v>0.59652368618718754</v>
      </c>
      <c r="B19">
        <v>0.842589943876494</v>
      </c>
      <c r="C19">
        <v>0.17117546697622171</v>
      </c>
      <c r="D19">
        <v>0</v>
      </c>
    </row>
    <row r="20" spans="1:4" x14ac:dyDescent="0.25">
      <c r="A20">
        <v>0.27588150816323342</v>
      </c>
      <c r="B20">
        <v>0.66251672062528821</v>
      </c>
      <c r="C20">
        <v>0.69867291603197668</v>
      </c>
      <c r="D20">
        <v>0</v>
      </c>
    </row>
    <row r="21" spans="1:4" x14ac:dyDescent="0.25">
      <c r="A21">
        <v>0.14359229933415671</v>
      </c>
      <c r="B21">
        <v>0.38008855196087787</v>
      </c>
      <c r="C21">
        <v>0.60946967711214173</v>
      </c>
      <c r="D21">
        <v>0</v>
      </c>
    </row>
    <row r="22" spans="1:4" x14ac:dyDescent="0.25">
      <c r="A22">
        <v>0.89857432884476607</v>
      </c>
      <c r="B22">
        <v>0.66244927502274442</v>
      </c>
      <c r="C22">
        <v>0.6183922684945925</v>
      </c>
      <c r="D22">
        <v>0</v>
      </c>
    </row>
    <row r="23" spans="1:4" x14ac:dyDescent="0.25">
      <c r="A23">
        <v>0.45485764315784921</v>
      </c>
      <c r="B23">
        <v>0.99253583473774698</v>
      </c>
      <c r="C23">
        <v>0.2303470311475927</v>
      </c>
      <c r="D23">
        <v>0</v>
      </c>
    </row>
    <row r="24" spans="1:4" x14ac:dyDescent="0.25">
      <c r="A24">
        <v>0.53180110656447588</v>
      </c>
      <c r="B24">
        <v>0.55101551530584014</v>
      </c>
      <c r="C24">
        <v>0.75799986850213896</v>
      </c>
      <c r="D24">
        <v>0</v>
      </c>
    </row>
    <row r="25" spans="1:4" x14ac:dyDescent="0.25">
      <c r="A25">
        <v>0.14032769974586229</v>
      </c>
      <c r="B25">
        <v>1</v>
      </c>
      <c r="C25">
        <v>0.11796407583455031</v>
      </c>
      <c r="D25">
        <v>0</v>
      </c>
    </row>
    <row r="26" spans="1:4" x14ac:dyDescent="0.25">
      <c r="A26">
        <v>0.3712766503785111</v>
      </c>
      <c r="B26">
        <v>0</v>
      </c>
      <c r="C26">
        <v>0.57179842270498749</v>
      </c>
      <c r="D26">
        <v>1</v>
      </c>
    </row>
    <row r="27" spans="1:4" x14ac:dyDescent="0.25">
      <c r="A27">
        <v>0.5431848876421066</v>
      </c>
      <c r="B27">
        <v>0.79163663379722216</v>
      </c>
      <c r="C27">
        <v>0.93774859493336227</v>
      </c>
      <c r="D27">
        <v>0</v>
      </c>
    </row>
    <row r="28" spans="1:4" x14ac:dyDescent="0.25">
      <c r="A28">
        <v>0.21214257934134881</v>
      </c>
      <c r="B28">
        <v>0.58548547056987166</v>
      </c>
      <c r="C28">
        <v>0.21182840414538301</v>
      </c>
      <c r="D28">
        <v>0</v>
      </c>
    </row>
    <row r="29" spans="1:4" x14ac:dyDescent="0.25">
      <c r="A29">
        <v>0.61264423158261372</v>
      </c>
      <c r="B29">
        <v>0.47718448568057542</v>
      </c>
      <c r="C29">
        <v>0.30864202925190998</v>
      </c>
      <c r="D29">
        <v>0</v>
      </c>
    </row>
    <row r="30" spans="1:4" x14ac:dyDescent="0.25">
      <c r="A30">
        <v>0.35651885178249559</v>
      </c>
      <c r="B30">
        <v>0.5868078210633475</v>
      </c>
      <c r="C30">
        <v>0.4606153449120739</v>
      </c>
      <c r="D30">
        <v>0</v>
      </c>
    </row>
    <row r="31" spans="1:4" x14ac:dyDescent="0.25">
      <c r="A31">
        <v>0.43756531808573818</v>
      </c>
      <c r="B31">
        <v>3.487329057094373E-3</v>
      </c>
      <c r="C31">
        <v>0.32297837895861831</v>
      </c>
      <c r="D31">
        <v>0</v>
      </c>
    </row>
    <row r="32" spans="1:4" x14ac:dyDescent="0.25">
      <c r="A32">
        <v>0.35623870047292988</v>
      </c>
      <c r="B32">
        <v>0.49944069704098942</v>
      </c>
      <c r="C32">
        <v>8.4004259388922226E-2</v>
      </c>
      <c r="D32">
        <v>0</v>
      </c>
    </row>
    <row r="33" spans="1:4" x14ac:dyDescent="0.25">
      <c r="A33">
        <v>1</v>
      </c>
      <c r="B33">
        <v>0.66124774286126686</v>
      </c>
      <c r="C33">
        <v>0.4535208000177221</v>
      </c>
      <c r="D33">
        <v>0</v>
      </c>
    </row>
    <row r="34" spans="1:4" x14ac:dyDescent="0.25">
      <c r="A34">
        <v>0.51054545909214522</v>
      </c>
      <c r="B34">
        <v>0.9756638757057805</v>
      </c>
      <c r="C34">
        <v>0.19545068385403369</v>
      </c>
      <c r="D34">
        <v>0</v>
      </c>
    </row>
    <row r="35" spans="1:4" x14ac:dyDescent="0.25">
      <c r="A35">
        <v>0.23661370038491619</v>
      </c>
      <c r="B35">
        <v>0.41567402657755742</v>
      </c>
      <c r="C35">
        <v>0.54595079178909567</v>
      </c>
      <c r="D35">
        <v>0</v>
      </c>
    </row>
    <row r="36" spans="1:4" x14ac:dyDescent="0.25">
      <c r="A36">
        <v>0.72986693703592986</v>
      </c>
      <c r="B36">
        <v>0.33425680436905408</v>
      </c>
      <c r="C36">
        <v>0.22805658182937039</v>
      </c>
      <c r="D36">
        <v>0</v>
      </c>
    </row>
    <row r="37" spans="1:4" x14ac:dyDescent="0.25">
      <c r="A37">
        <v>0.19381859724667949</v>
      </c>
      <c r="B37">
        <v>0.42030651618480819</v>
      </c>
      <c r="C37">
        <v>0.79157806260494845</v>
      </c>
      <c r="D37">
        <v>0</v>
      </c>
    </row>
    <row r="38" spans="1:4" x14ac:dyDescent="0.25">
      <c r="A38">
        <v>0.56887804960848398</v>
      </c>
      <c r="B38">
        <v>0.81786635613548464</v>
      </c>
      <c r="C38">
        <v>0.25913155392819293</v>
      </c>
      <c r="D38">
        <v>0</v>
      </c>
    </row>
    <row r="39" spans="1:4" x14ac:dyDescent="0.25">
      <c r="A39">
        <v>0</v>
      </c>
      <c r="B39">
        <v>0.65329141830528947</v>
      </c>
      <c r="C39">
        <v>0.36437810194902093</v>
      </c>
      <c r="D39">
        <v>0</v>
      </c>
    </row>
    <row r="40" spans="1:4" x14ac:dyDescent="0.25">
      <c r="A40">
        <v>0.16565913907900531</v>
      </c>
      <c r="B40">
        <v>0.41245070705313569</v>
      </c>
      <c r="C40">
        <v>0.62352353319980325</v>
      </c>
      <c r="D40">
        <v>0</v>
      </c>
    </row>
    <row r="41" spans="1:4" x14ac:dyDescent="0.25">
      <c r="A41">
        <v>0.5657294342116751</v>
      </c>
      <c r="B41">
        <v>0.70505432682286928</v>
      </c>
      <c r="C41">
        <v>0.15698420963336321</v>
      </c>
      <c r="D41">
        <v>0</v>
      </c>
    </row>
    <row r="42" spans="1:4" x14ac:dyDescent="0.25">
      <c r="A42">
        <v>0.70781041231266639</v>
      </c>
      <c r="B42">
        <v>0.58829935102423614</v>
      </c>
      <c r="C42">
        <v>0.4897819767673704</v>
      </c>
      <c r="D42">
        <v>0</v>
      </c>
    </row>
    <row r="43" spans="1:4" x14ac:dyDescent="0.25">
      <c r="A43">
        <v>0.5590417898322767</v>
      </c>
      <c r="B43">
        <v>0.83280273631025326</v>
      </c>
      <c r="C43">
        <v>0.73617164720322403</v>
      </c>
      <c r="D43">
        <v>0</v>
      </c>
    </row>
    <row r="44" spans="1:4" x14ac:dyDescent="0.25">
      <c r="A44">
        <v>0.48374786127962782</v>
      </c>
      <c r="B44">
        <v>0.36411687434890438</v>
      </c>
      <c r="C44">
        <v>7.1037661789862705E-2</v>
      </c>
      <c r="D44">
        <v>0</v>
      </c>
    </row>
    <row r="45" spans="1:4" x14ac:dyDescent="0.25">
      <c r="A45">
        <v>0.43509677836936678</v>
      </c>
      <c r="B45">
        <v>0.46914587119377682</v>
      </c>
      <c r="C45">
        <v>0.48000882619288798</v>
      </c>
      <c r="D45">
        <v>0</v>
      </c>
    </row>
    <row r="46" spans="1:4" x14ac:dyDescent="0.25">
      <c r="A46">
        <v>0.12622105406138789</v>
      </c>
      <c r="B46">
        <v>0.45106664287335929</v>
      </c>
      <c r="C46">
        <v>0.49718105504919929</v>
      </c>
      <c r="D46">
        <v>0</v>
      </c>
    </row>
    <row r="47" spans="1:4" x14ac:dyDescent="0.25">
      <c r="A47">
        <v>0.32524730536263058</v>
      </c>
      <c r="B47">
        <v>0.15050173416152371</v>
      </c>
      <c r="C47">
        <v>0.61629070590751733</v>
      </c>
      <c r="D47">
        <v>1</v>
      </c>
    </row>
    <row r="48" spans="1:4" x14ac:dyDescent="0.25">
      <c r="A48">
        <v>0.39324545656119331</v>
      </c>
      <c r="B48">
        <v>0.64413739458067765</v>
      </c>
      <c r="C48">
        <v>0.1555952603105632</v>
      </c>
      <c r="D48">
        <v>0</v>
      </c>
    </row>
    <row r="49" spans="1:4" x14ac:dyDescent="0.25">
      <c r="A49">
        <v>0.79140431769754771</v>
      </c>
      <c r="B49">
        <v>0.63430050532317928</v>
      </c>
      <c r="C49">
        <v>0.1365387454257905</v>
      </c>
      <c r="D49">
        <v>0</v>
      </c>
    </row>
    <row r="50" spans="1:4" x14ac:dyDescent="0.25">
      <c r="A50">
        <v>0.60422865870965148</v>
      </c>
      <c r="B50">
        <v>0.56250039281544451</v>
      </c>
      <c r="C50">
        <v>0.55698433536030201</v>
      </c>
      <c r="D50">
        <v>0</v>
      </c>
    </row>
    <row r="51" spans="1:4" x14ac:dyDescent="0.25">
      <c r="A51">
        <v>5.1582538011947968E-2</v>
      </c>
      <c r="B51">
        <v>0.49525647921228511</v>
      </c>
      <c r="C51">
        <v>0.50564791176766632</v>
      </c>
      <c r="D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workbookViewId="0">
      <selection activeCell="G10" sqref="G10"/>
    </sheetView>
  </sheetViews>
  <sheetFormatPr baseColWidth="10" defaultColWidth="9.140625" defaultRowHeight="15" x14ac:dyDescent="0.25"/>
  <cols>
    <col min="1" max="13" width="18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 t="s">
        <v>4</v>
      </c>
      <c r="I1" s="1" t="s">
        <v>5</v>
      </c>
      <c r="J1" s="1"/>
      <c r="K1" s="1" t="s">
        <v>6</v>
      </c>
      <c r="L1" s="1"/>
      <c r="M1" s="1"/>
    </row>
    <row r="2" spans="1:13" x14ac:dyDescent="0.25">
      <c r="H2">
        <v>1</v>
      </c>
      <c r="I2">
        <v>5</v>
      </c>
      <c r="K2">
        <v>1</v>
      </c>
      <c r="M2" s="2" t="s">
        <v>7</v>
      </c>
    </row>
    <row r="3" spans="1:13" x14ac:dyDescent="0.25">
      <c r="H3">
        <v>0.4</v>
      </c>
      <c r="I3">
        <v>0.8</v>
      </c>
      <c r="K3">
        <v>0.3</v>
      </c>
      <c r="M3" t="s">
        <v>8</v>
      </c>
    </row>
    <row r="4" spans="1:13" x14ac:dyDescent="0.25">
      <c r="H4">
        <v>0.78403257572725049</v>
      </c>
      <c r="I4">
        <v>0.1</v>
      </c>
      <c r="M4" t="s">
        <v>9</v>
      </c>
    </row>
    <row r="5" spans="1:13" x14ac:dyDescent="0.25">
      <c r="H5" t="s">
        <v>10</v>
      </c>
      <c r="I5" t="s">
        <v>11</v>
      </c>
      <c r="K5" t="s">
        <v>12</v>
      </c>
      <c r="M5" t="s">
        <v>13</v>
      </c>
    </row>
    <row r="6" spans="1:13" x14ac:dyDescent="0.25">
      <c r="H6">
        <v>9.6088713698730829E-2</v>
      </c>
      <c r="I6">
        <v>0</v>
      </c>
      <c r="K6">
        <v>-0.3</v>
      </c>
    </row>
    <row r="9" spans="1:13" x14ac:dyDescent="0.25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</row>
    <row r="10" spans="1:13" x14ac:dyDescent="0.25">
      <c r="A10">
        <v>0.64439076245745497</v>
      </c>
      <c r="B10">
        <v>0.65198213167932406</v>
      </c>
      <c r="C10">
        <v>0.1148788092580177</v>
      </c>
      <c r="D10">
        <v>0</v>
      </c>
      <c r="E10">
        <f>1/(1+EXP(-(A10*$H$2 + B10*$H$3 + C10*$H$4 + $H$6)))</f>
        <v>0.74863416736130395</v>
      </c>
      <c r="F10">
        <f t="shared" ref="F10:F44" si="0">1/(1+EXP(-(A10*$I$2 + B10*$I$3 + C10*$I$4 + $I$6)))</f>
        <v>0.97713522197026004</v>
      </c>
      <c r="G10">
        <f>1/(1+EXP(-(E10*$K$2 + F10*$K$3 + $K$6)))</f>
        <v>0.67738381972080142</v>
      </c>
      <c r="H10">
        <f t="shared" ref="H10:H44" si="1">(G10-D10)^2</f>
        <v>0.45884883921954317</v>
      </c>
    </row>
    <row r="11" spans="1:13" x14ac:dyDescent="0.25">
      <c r="A11">
        <v>0.47781493224877641</v>
      </c>
      <c r="B11">
        <v>0.4530376316717436</v>
      </c>
      <c r="C11">
        <v>0.341880724788023</v>
      </c>
      <c r="D11">
        <v>0</v>
      </c>
      <c r="E11">
        <f t="shared" ref="E10:E44" si="2">1/(1+EXP(-(A11*$H$2 + B11*$H$3 + C11*$H$4 + $H$6)))</f>
        <v>0.73558851293186789</v>
      </c>
      <c r="F11">
        <f t="shared" si="0"/>
        <v>0.94189777766224669</v>
      </c>
      <c r="G11">
        <f t="shared" ref="G10:G44" si="3">1/(1+EXP(-(E11*$K$2 + F11*$K$3 + $K$6)))</f>
        <v>0.67220123333679083</v>
      </c>
      <c r="H11">
        <f t="shared" si="1"/>
        <v>0.45185449809950273</v>
      </c>
    </row>
    <row r="12" spans="1:13" x14ac:dyDescent="0.25">
      <c r="A12">
        <v>0.68399633233289625</v>
      </c>
      <c r="B12">
        <v>0.37116697416194011</v>
      </c>
      <c r="C12">
        <v>0.35966497152786442</v>
      </c>
      <c r="D12">
        <v>0</v>
      </c>
      <c r="E12">
        <f t="shared" si="2"/>
        <v>0.77039463925847707</v>
      </c>
      <c r="F12">
        <f t="shared" si="0"/>
        <v>0.97708723455872604</v>
      </c>
      <c r="G12">
        <f t="shared" si="3"/>
        <v>0.68211765110593603</v>
      </c>
      <c r="H12">
        <f t="shared" si="1"/>
        <v>0.46528448995027949</v>
      </c>
    </row>
    <row r="13" spans="1:13" x14ac:dyDescent="0.25">
      <c r="A13">
        <v>0.91362728414329331</v>
      </c>
      <c r="B13">
        <v>0.73266125341341504</v>
      </c>
      <c r="C13">
        <v>0.25479017578478108</v>
      </c>
      <c r="D13">
        <v>0</v>
      </c>
      <c r="E13">
        <f t="shared" si="2"/>
        <v>0.81795364249155122</v>
      </c>
      <c r="F13">
        <f t="shared" si="0"/>
        <v>0.99440206836188083</v>
      </c>
      <c r="G13">
        <f t="shared" si="3"/>
        <v>0.69344489772344797</v>
      </c>
      <c r="H13">
        <f t="shared" si="1"/>
        <v>0.48086582617868323</v>
      </c>
    </row>
    <row r="14" spans="1:13" x14ac:dyDescent="0.25">
      <c r="A14">
        <v>0.45266005978077001</v>
      </c>
      <c r="B14">
        <v>0.85029523709959864</v>
      </c>
      <c r="C14">
        <v>0.40106804159851051</v>
      </c>
      <c r="D14">
        <v>0</v>
      </c>
      <c r="E14">
        <f t="shared" si="2"/>
        <v>0.76911438307699376</v>
      </c>
      <c r="F14">
        <f t="shared" si="0"/>
        <v>0.95182969124606542</v>
      </c>
      <c r="G14">
        <f t="shared" si="3"/>
        <v>0.68019395666834082</v>
      </c>
      <c r="H14">
        <f t="shared" si="1"/>
        <v>0.46266381868813272</v>
      </c>
    </row>
    <row r="15" spans="1:13" x14ac:dyDescent="0.25">
      <c r="A15">
        <v>0.45266436670542559</v>
      </c>
      <c r="B15">
        <v>0.82232065871022519</v>
      </c>
      <c r="C15">
        <v>0.53008101490372828</v>
      </c>
      <c r="D15">
        <v>0</v>
      </c>
      <c r="E15">
        <f t="shared" si="2"/>
        <v>0.78470220517252454</v>
      </c>
      <c r="F15">
        <f t="shared" si="0"/>
        <v>0.95139423882745144</v>
      </c>
      <c r="G15">
        <f t="shared" si="3"/>
        <v>0.68354695471576865</v>
      </c>
      <c r="H15">
        <f t="shared" si="1"/>
        <v>0.46723643930120107</v>
      </c>
    </row>
    <row r="16" spans="1:13" x14ac:dyDescent="0.25">
      <c r="A16">
        <v>0.92836593077596863</v>
      </c>
      <c r="B16">
        <v>0.32563773236747001</v>
      </c>
      <c r="C16">
        <v>0.86831253852745993</v>
      </c>
      <c r="D16">
        <v>1</v>
      </c>
      <c r="E16">
        <f t="shared" si="2"/>
        <v>0.86241504368229638</v>
      </c>
      <c r="F16">
        <f t="shared" si="0"/>
        <v>0.99323477196286991</v>
      </c>
      <c r="G16">
        <f t="shared" si="3"/>
        <v>0.70274118488418469</v>
      </c>
      <c r="H16">
        <f t="shared" si="1"/>
        <v>8.8362803164058465E-2</v>
      </c>
    </row>
    <row r="17" spans="1:8" x14ac:dyDescent="0.25">
      <c r="A17">
        <v>0.71540971503504325</v>
      </c>
      <c r="B17">
        <v>0.47432163980572822</v>
      </c>
      <c r="C17">
        <v>0.47771398020583788</v>
      </c>
      <c r="D17">
        <v>0</v>
      </c>
      <c r="E17">
        <f t="shared" si="2"/>
        <v>0.79831084997237767</v>
      </c>
      <c r="F17">
        <f t="shared" si="0"/>
        <v>0.98208918291374936</v>
      </c>
      <c r="G17">
        <f t="shared" si="3"/>
        <v>0.68846174300854346</v>
      </c>
      <c r="H17">
        <f t="shared" si="1"/>
        <v>0.47397957158636173</v>
      </c>
    </row>
    <row r="18" spans="1:8" x14ac:dyDescent="0.25">
      <c r="A18">
        <v>0.39092758279681922</v>
      </c>
      <c r="B18">
        <v>0.65399620733512187</v>
      </c>
      <c r="C18">
        <v>0.49664878749289809</v>
      </c>
      <c r="D18">
        <v>0</v>
      </c>
      <c r="E18">
        <f t="shared" si="2"/>
        <v>0.75731291040705884</v>
      </c>
      <c r="F18">
        <f t="shared" si="0"/>
        <v>0.92604730992963646</v>
      </c>
      <c r="G18">
        <f t="shared" si="3"/>
        <v>0.67592937019986998</v>
      </c>
      <c r="H18">
        <f t="shared" si="1"/>
        <v>0.45688051349879288</v>
      </c>
    </row>
    <row r="19" spans="1:8" x14ac:dyDescent="0.25">
      <c r="A19">
        <v>0.65641765444700317</v>
      </c>
      <c r="B19">
        <v>0.83473845198220153</v>
      </c>
      <c r="C19">
        <v>0.42088536970868112</v>
      </c>
      <c r="D19">
        <v>0</v>
      </c>
      <c r="E19">
        <f t="shared" si="2"/>
        <v>0.80477179390786979</v>
      </c>
      <c r="F19">
        <f t="shared" si="0"/>
        <v>0.98187136493318339</v>
      </c>
      <c r="G19">
        <f t="shared" si="3"/>
        <v>0.68983182880155747</v>
      </c>
      <c r="H19">
        <f t="shared" si="1"/>
        <v>0.47586795202770127</v>
      </c>
    </row>
    <row r="20" spans="1:8" x14ac:dyDescent="0.25">
      <c r="A20">
        <v>0.39251645353495618</v>
      </c>
      <c r="B20">
        <v>0.42664173729517457</v>
      </c>
      <c r="C20">
        <v>0</v>
      </c>
      <c r="D20">
        <v>0</v>
      </c>
      <c r="E20">
        <f t="shared" si="2"/>
        <v>0.65909455653570381</v>
      </c>
      <c r="F20">
        <f t="shared" si="0"/>
        <v>0.90919916215371155</v>
      </c>
      <c r="G20">
        <f t="shared" si="3"/>
        <v>0.65290980128653731</v>
      </c>
      <c r="H20">
        <f t="shared" si="1"/>
        <v>0.42629120861602565</v>
      </c>
    </row>
    <row r="21" spans="1:8" x14ac:dyDescent="0.25">
      <c r="A21">
        <v>0.39190992360045879</v>
      </c>
      <c r="B21">
        <v>0.50898243934620391</v>
      </c>
      <c r="C21">
        <v>0.43182372993981849</v>
      </c>
      <c r="D21">
        <v>0</v>
      </c>
      <c r="E21">
        <f t="shared" si="2"/>
        <v>0.7369460385943073</v>
      </c>
      <c r="F21">
        <f t="shared" si="0"/>
        <v>0.91758047635742357</v>
      </c>
      <c r="G21">
        <f t="shared" si="3"/>
        <v>0.67089155303364711</v>
      </c>
      <c r="H21">
        <f t="shared" si="1"/>
        <v>0.45009547593189891</v>
      </c>
    </row>
    <row r="22" spans="1:8" x14ac:dyDescent="0.25">
      <c r="A22">
        <v>0.577560926154433</v>
      </c>
      <c r="B22">
        <v>0.25070248593751748</v>
      </c>
      <c r="C22">
        <v>0.45161921637529751</v>
      </c>
      <c r="D22">
        <v>0</v>
      </c>
      <c r="E22">
        <f t="shared" si="2"/>
        <v>0.75547235358061748</v>
      </c>
      <c r="F22">
        <f t="shared" si="0"/>
        <v>0.95825477209453169</v>
      </c>
      <c r="G22">
        <f t="shared" si="3"/>
        <v>0.67764033753799391</v>
      </c>
      <c r="H22">
        <f t="shared" si="1"/>
        <v>0.4591964270586063</v>
      </c>
    </row>
    <row r="23" spans="1:8" x14ac:dyDescent="0.25">
      <c r="A23">
        <v>1.216959818680919E-2</v>
      </c>
      <c r="B23">
        <v>0.22549052683241591</v>
      </c>
      <c r="C23">
        <v>1</v>
      </c>
      <c r="D23">
        <v>1</v>
      </c>
      <c r="E23">
        <f t="shared" si="2"/>
        <v>0.7276014321735973</v>
      </c>
      <c r="F23">
        <f t="shared" si="0"/>
        <v>0.5844918024360044</v>
      </c>
      <c r="G23">
        <f t="shared" si="3"/>
        <v>0.64633069458870673</v>
      </c>
      <c r="H23">
        <f t="shared" si="1"/>
        <v>0.12508197759010664</v>
      </c>
    </row>
    <row r="24" spans="1:8" x14ac:dyDescent="0.25">
      <c r="A24">
        <v>6.1583282976355798E-2</v>
      </c>
      <c r="B24">
        <v>0.78900616554109448</v>
      </c>
      <c r="C24">
        <v>0.39397649467918022</v>
      </c>
      <c r="D24">
        <v>0</v>
      </c>
      <c r="E24">
        <f t="shared" si="2"/>
        <v>0.68614650506914066</v>
      </c>
      <c r="F24">
        <f t="shared" si="0"/>
        <v>0.72681425411104217</v>
      </c>
      <c r="G24">
        <f t="shared" si="3"/>
        <v>0.64661450464315762</v>
      </c>
      <c r="H24">
        <f t="shared" si="1"/>
        <v>0.41811031761491613</v>
      </c>
    </row>
    <row r="25" spans="1:8" x14ac:dyDescent="0.25">
      <c r="A25">
        <v>0.3665796284707406</v>
      </c>
      <c r="B25">
        <v>0.94153591568591366</v>
      </c>
      <c r="C25">
        <v>0.50668913842745222</v>
      </c>
      <c r="D25">
        <v>0</v>
      </c>
      <c r="E25">
        <f t="shared" si="2"/>
        <v>0.77496178718080444</v>
      </c>
      <c r="F25">
        <f t="shared" si="0"/>
        <v>0.93319247725568233</v>
      </c>
      <c r="G25">
        <f t="shared" si="3"/>
        <v>0.6802496939967424</v>
      </c>
      <c r="H25">
        <f t="shared" si="1"/>
        <v>0.46273964618266167</v>
      </c>
    </row>
    <row r="26" spans="1:8" x14ac:dyDescent="0.25">
      <c r="A26">
        <v>0.24838715715575241</v>
      </c>
      <c r="B26">
        <v>0.54086468791209341</v>
      </c>
      <c r="C26">
        <v>0.42995292452623213</v>
      </c>
      <c r="D26">
        <v>0</v>
      </c>
      <c r="E26">
        <f t="shared" si="2"/>
        <v>0.71052163692103099</v>
      </c>
      <c r="F26">
        <f t="shared" si="0"/>
        <v>0.84782238819368294</v>
      </c>
      <c r="G26">
        <f t="shared" si="3"/>
        <v>0.66035314709424575</v>
      </c>
      <c r="H26">
        <f t="shared" si="1"/>
        <v>0.43606627887727456</v>
      </c>
    </row>
    <row r="27" spans="1:8" x14ac:dyDescent="0.25">
      <c r="A27">
        <v>0.59652368618718754</v>
      </c>
      <c r="B27">
        <v>0.842589943876494</v>
      </c>
      <c r="C27">
        <v>0.17117546697622171</v>
      </c>
      <c r="D27">
        <v>0</v>
      </c>
      <c r="E27">
        <f t="shared" si="2"/>
        <v>0.76203257684068149</v>
      </c>
      <c r="F27">
        <f t="shared" si="0"/>
        <v>0.97524854141393169</v>
      </c>
      <c r="G27">
        <f t="shared" si="3"/>
        <v>0.68018174196952641</v>
      </c>
      <c r="H27">
        <f t="shared" si="1"/>
        <v>0.46264720210869942</v>
      </c>
    </row>
    <row r="28" spans="1:8" x14ac:dyDescent="0.25">
      <c r="A28">
        <v>0.27588150816323342</v>
      </c>
      <c r="B28">
        <v>0.66251672062528821</v>
      </c>
      <c r="C28">
        <v>0.69867291603197668</v>
      </c>
      <c r="D28">
        <v>0</v>
      </c>
      <c r="E28">
        <f t="shared" si="2"/>
        <v>0.76580244779710249</v>
      </c>
      <c r="F28">
        <f t="shared" si="0"/>
        <v>0.87860526431362873</v>
      </c>
      <c r="G28">
        <f t="shared" si="3"/>
        <v>0.67467008701554187</v>
      </c>
      <c r="H28">
        <f t="shared" si="1"/>
        <v>0.45517972631355885</v>
      </c>
    </row>
    <row r="29" spans="1:8" x14ac:dyDescent="0.25">
      <c r="A29">
        <v>0.14359229933415671</v>
      </c>
      <c r="B29">
        <v>0.38008855196087787</v>
      </c>
      <c r="C29">
        <v>0.60946967711214173</v>
      </c>
      <c r="D29">
        <v>0</v>
      </c>
      <c r="E29">
        <f t="shared" si="2"/>
        <v>0.70465424199818405</v>
      </c>
      <c r="F29">
        <f t="shared" si="0"/>
        <v>0.74705737516850124</v>
      </c>
      <c r="G29">
        <f t="shared" si="3"/>
        <v>0.65221084107973148</v>
      </c>
      <c r="H29">
        <f t="shared" si="1"/>
        <v>0.42537898122193074</v>
      </c>
    </row>
    <row r="30" spans="1:8" x14ac:dyDescent="0.25">
      <c r="A30">
        <v>0.89857432884476607</v>
      </c>
      <c r="B30">
        <v>0.66244927502274442</v>
      </c>
      <c r="C30">
        <v>0.6183922684945925</v>
      </c>
      <c r="D30">
        <v>0</v>
      </c>
      <c r="E30">
        <f t="shared" si="2"/>
        <v>0.85125552355794742</v>
      </c>
      <c r="F30">
        <f t="shared" si="0"/>
        <v>0.99384716380766269</v>
      </c>
      <c r="G30">
        <f t="shared" si="3"/>
        <v>0.70044329319058718</v>
      </c>
      <c r="H30">
        <f t="shared" si="1"/>
        <v>0.49062080697567489</v>
      </c>
    </row>
    <row r="31" spans="1:8" x14ac:dyDescent="0.25">
      <c r="A31">
        <v>0.45485764315784921</v>
      </c>
      <c r="B31">
        <v>0.99253583473774698</v>
      </c>
      <c r="C31">
        <v>0.2303470311475927</v>
      </c>
      <c r="D31">
        <v>0</v>
      </c>
      <c r="E31">
        <f t="shared" si="2"/>
        <v>0.75557310359280394</v>
      </c>
      <c r="F31">
        <f t="shared" si="0"/>
        <v>0.95653459352302772</v>
      </c>
      <c r="G31">
        <f t="shared" si="3"/>
        <v>0.67754961031240557</v>
      </c>
      <c r="H31">
        <f t="shared" si="1"/>
        <v>0.45907347443449265</v>
      </c>
    </row>
    <row r="32" spans="1:8" x14ac:dyDescent="0.25">
      <c r="A32">
        <v>0.53180110656447588</v>
      </c>
      <c r="B32">
        <v>0.55101551530584014</v>
      </c>
      <c r="C32">
        <v>0.75799986850213896</v>
      </c>
      <c r="D32">
        <v>0</v>
      </c>
      <c r="E32">
        <f t="shared" si="2"/>
        <v>0.80885581179397326</v>
      </c>
      <c r="F32">
        <f t="shared" si="0"/>
        <v>0.95990635661791235</v>
      </c>
      <c r="G32">
        <f t="shared" si="3"/>
        <v>0.68929549078862529</v>
      </c>
      <c r="H32">
        <f t="shared" si="1"/>
        <v>0.47512827362153182</v>
      </c>
    </row>
    <row r="33" spans="1:8" x14ac:dyDescent="0.25">
      <c r="A33">
        <v>0.14032769974586229</v>
      </c>
      <c r="B33">
        <v>1</v>
      </c>
      <c r="C33">
        <v>0.11796407583455031</v>
      </c>
      <c r="D33">
        <v>0</v>
      </c>
      <c r="E33">
        <f t="shared" si="2"/>
        <v>0.67456473698610175</v>
      </c>
      <c r="F33">
        <f t="shared" si="0"/>
        <v>0.81956970199604828</v>
      </c>
      <c r="G33">
        <f t="shared" si="3"/>
        <v>0.65031762333028842</v>
      </c>
      <c r="H33">
        <f t="shared" si="1"/>
        <v>0.42291301121395491</v>
      </c>
    </row>
    <row r="34" spans="1:8" x14ac:dyDescent="0.25">
      <c r="A34">
        <v>0.3712766503785111</v>
      </c>
      <c r="B34">
        <v>0</v>
      </c>
      <c r="C34">
        <v>0.57179842270498749</v>
      </c>
      <c r="D34">
        <v>1</v>
      </c>
      <c r="E34">
        <f t="shared" si="2"/>
        <v>0.71415982466216565</v>
      </c>
      <c r="F34">
        <f t="shared" si="0"/>
        <v>0.87141891402184057</v>
      </c>
      <c r="G34">
        <f t="shared" si="3"/>
        <v>0.66275271539972636</v>
      </c>
      <c r="H34">
        <f t="shared" si="1"/>
        <v>0.11373573097025796</v>
      </c>
    </row>
    <row r="35" spans="1:8" x14ac:dyDescent="0.25">
      <c r="A35">
        <v>0.5431848876421066</v>
      </c>
      <c r="B35">
        <v>0.79163663379722216</v>
      </c>
      <c r="C35">
        <v>0.93774859493336227</v>
      </c>
      <c r="D35">
        <v>0</v>
      </c>
      <c r="E35">
        <f t="shared" si="2"/>
        <v>0.84437582255087107</v>
      </c>
      <c r="F35">
        <f t="shared" si="0"/>
        <v>0.96902195690608284</v>
      </c>
      <c r="G35">
        <f t="shared" si="3"/>
        <v>0.69742850492101738</v>
      </c>
      <c r="H35">
        <f t="shared" si="1"/>
        <v>0.48640651947636554</v>
      </c>
    </row>
    <row r="36" spans="1:8" x14ac:dyDescent="0.25">
      <c r="A36">
        <v>0.21214257934134881</v>
      </c>
      <c r="B36">
        <v>0.58548547056987166</v>
      </c>
      <c r="C36">
        <v>0.21182840414538301</v>
      </c>
      <c r="D36">
        <v>0</v>
      </c>
      <c r="E36">
        <f t="shared" si="2"/>
        <v>0.67007092338825081</v>
      </c>
      <c r="F36">
        <f t="shared" si="0"/>
        <v>0.82495476287507308</v>
      </c>
      <c r="G36">
        <f t="shared" si="3"/>
        <v>0.64966280283468492</v>
      </c>
      <c r="H36">
        <f t="shared" si="1"/>
        <v>0.42206175738701868</v>
      </c>
    </row>
    <row r="37" spans="1:8" x14ac:dyDescent="0.25">
      <c r="A37">
        <v>0.61264423158261372</v>
      </c>
      <c r="B37">
        <v>0.47718448568057542</v>
      </c>
      <c r="C37">
        <v>0.30864202925190998</v>
      </c>
      <c r="D37">
        <v>0</v>
      </c>
      <c r="E37">
        <f t="shared" si="2"/>
        <v>0.75797183875115348</v>
      </c>
      <c r="F37">
        <f t="shared" si="0"/>
        <v>0.96999226598691324</v>
      </c>
      <c r="G37">
        <f t="shared" si="3"/>
        <v>0.67895412097935126</v>
      </c>
      <c r="H37">
        <f t="shared" si="1"/>
        <v>0.46097869839484357</v>
      </c>
    </row>
    <row r="38" spans="1:8" x14ac:dyDescent="0.25">
      <c r="A38">
        <v>0.35651885178249559</v>
      </c>
      <c r="B38">
        <v>0.5868078210633475</v>
      </c>
      <c r="C38">
        <v>0.4606153449120739</v>
      </c>
      <c r="D38">
        <v>0</v>
      </c>
      <c r="E38">
        <f t="shared" si="2"/>
        <v>0.74048062946166338</v>
      </c>
      <c r="F38">
        <f t="shared" si="0"/>
        <v>0.90871972957974734</v>
      </c>
      <c r="G38">
        <f t="shared" si="3"/>
        <v>0.67108502240563883</v>
      </c>
      <c r="H38">
        <f t="shared" si="1"/>
        <v>0.45035510729717676</v>
      </c>
    </row>
    <row r="39" spans="1:8" x14ac:dyDescent="0.25">
      <c r="A39">
        <v>0.43756531808573818</v>
      </c>
      <c r="B39">
        <v>3.487329057094373E-3</v>
      </c>
      <c r="C39">
        <v>0.32297837895861831</v>
      </c>
      <c r="D39">
        <v>0</v>
      </c>
      <c r="E39">
        <f t="shared" si="2"/>
        <v>0.68746071950169774</v>
      </c>
      <c r="F39">
        <f t="shared" si="0"/>
        <v>0.90228843275261816</v>
      </c>
      <c r="G39">
        <f t="shared" si="3"/>
        <v>0.65884407098930364</v>
      </c>
      <c r="H39">
        <f t="shared" si="1"/>
        <v>0.43407550987775856</v>
      </c>
    </row>
    <row r="40" spans="1:8" x14ac:dyDescent="0.25">
      <c r="A40">
        <v>0.35623870047292988</v>
      </c>
      <c r="B40">
        <v>0.49944069704098942</v>
      </c>
      <c r="C40">
        <v>8.4004259388922226E-2</v>
      </c>
      <c r="D40">
        <v>0</v>
      </c>
      <c r="E40">
        <f t="shared" si="2"/>
        <v>0.67215890831300329</v>
      </c>
      <c r="F40">
        <f t="shared" si="0"/>
        <v>0.89927061893759852</v>
      </c>
      <c r="G40">
        <f t="shared" si="3"/>
        <v>0.65519188973488929</v>
      </c>
      <c r="H40">
        <f t="shared" si="1"/>
        <v>0.4292764123743753</v>
      </c>
    </row>
    <row r="41" spans="1:8" x14ac:dyDescent="0.25">
      <c r="A41">
        <v>1</v>
      </c>
      <c r="B41">
        <v>0.66124774286126686</v>
      </c>
      <c r="C41">
        <v>0.4535208000177221</v>
      </c>
      <c r="D41">
        <v>0</v>
      </c>
      <c r="E41">
        <f t="shared" si="2"/>
        <v>0.84763393209598947</v>
      </c>
      <c r="F41">
        <f t="shared" si="0"/>
        <v>0.99622039977397525</v>
      </c>
      <c r="G41">
        <f t="shared" si="3"/>
        <v>0.6998324335163052</v>
      </c>
      <c r="H41">
        <f t="shared" si="1"/>
        <v>0.48976543500135372</v>
      </c>
    </row>
    <row r="42" spans="1:8" x14ac:dyDescent="0.25">
      <c r="A42">
        <v>0.51054545909214522</v>
      </c>
      <c r="B42">
        <v>0.9756638757057805</v>
      </c>
      <c r="C42">
        <v>0.19545068385403369</v>
      </c>
      <c r="D42">
        <v>0</v>
      </c>
      <c r="E42">
        <f t="shared" si="2"/>
        <v>0.75953638278572067</v>
      </c>
      <c r="F42">
        <f t="shared" si="0"/>
        <v>0.96619651901379688</v>
      </c>
      <c r="G42">
        <f t="shared" si="3"/>
        <v>0.6790469321874677</v>
      </c>
      <c r="H42">
        <f t="shared" si="1"/>
        <v>0.46110473611321134</v>
      </c>
    </row>
    <row r="43" spans="1:8" x14ac:dyDescent="0.25">
      <c r="A43">
        <v>0.23661370038491619</v>
      </c>
      <c r="B43">
        <v>0.41567402657755742</v>
      </c>
      <c r="C43">
        <v>0.54595079178909567</v>
      </c>
      <c r="D43">
        <v>0</v>
      </c>
      <c r="E43">
        <f t="shared" si="2"/>
        <v>0.71646934826457842</v>
      </c>
      <c r="F43">
        <f t="shared" si="0"/>
        <v>0.82781251742487194</v>
      </c>
      <c r="G43">
        <f t="shared" si="3"/>
        <v>0.66034075516031665</v>
      </c>
      <c r="H43">
        <f t="shared" si="1"/>
        <v>0.43604991292569728</v>
      </c>
    </row>
    <row r="44" spans="1:8" x14ac:dyDescent="0.25">
      <c r="A44">
        <v>0.72986693703592986</v>
      </c>
      <c r="B44">
        <v>0.33425680436905408</v>
      </c>
      <c r="C44">
        <v>0.22805658182937039</v>
      </c>
      <c r="D44">
        <v>0</v>
      </c>
      <c r="E44">
        <f t="shared" si="2"/>
        <v>0.75739717817419883</v>
      </c>
      <c r="F44">
        <f t="shared" si="0"/>
        <v>0.98091430102012012</v>
      </c>
      <c r="G44">
        <f t="shared" si="3"/>
        <v>0.6795427946611784</v>
      </c>
      <c r="H44">
        <f t="shared" si="1"/>
        <v>0.46177840977592449</v>
      </c>
    </row>
    <row r="46" spans="1:8" x14ac:dyDescent="0.25">
      <c r="G46" s="2" t="s">
        <v>22</v>
      </c>
      <c r="H46" s="4">
        <f>SUM(H10:H44)</f>
        <v>14.895955789069571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workbookViewId="0">
      <selection activeCell="L16" sqref="L16"/>
    </sheetView>
  </sheetViews>
  <sheetFormatPr baseColWidth="10" defaultColWidth="9.140625" defaultRowHeight="15" x14ac:dyDescent="0.25"/>
  <cols>
    <col min="1" max="11" width="18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 t="s">
        <v>4</v>
      </c>
      <c r="I1" s="1" t="s">
        <v>5</v>
      </c>
      <c r="J1" s="1"/>
      <c r="K1" s="1" t="s">
        <v>23</v>
      </c>
    </row>
    <row r="2" spans="1:11" x14ac:dyDescent="0.25">
      <c r="H2">
        <f>'3_Train_NN'!H2</f>
        <v>1</v>
      </c>
      <c r="I2">
        <f>'3_Train_NN'!I2</f>
        <v>5</v>
      </c>
      <c r="K2">
        <f>'3_Train_NN'!K2</f>
        <v>1</v>
      </c>
    </row>
    <row r="3" spans="1:11" x14ac:dyDescent="0.25">
      <c r="H3">
        <f>'3_Train_NN'!H3</f>
        <v>0.4</v>
      </c>
      <c r="I3">
        <f>'3_Train_NN'!I3</f>
        <v>0.8</v>
      </c>
      <c r="K3">
        <f>'3_Train_NN'!K3</f>
        <v>0.3</v>
      </c>
    </row>
    <row r="4" spans="1:11" x14ac:dyDescent="0.25">
      <c r="H4">
        <f>'3_Train_NN'!H4</f>
        <v>0.78403257572725049</v>
      </c>
      <c r="I4">
        <f>'3_Train_NN'!I4</f>
        <v>0.1</v>
      </c>
    </row>
    <row r="5" spans="1:11" x14ac:dyDescent="0.25">
      <c r="H5" t="s">
        <v>10</v>
      </c>
      <c r="I5" t="s">
        <v>11</v>
      </c>
      <c r="K5" t="s">
        <v>12</v>
      </c>
    </row>
    <row r="6" spans="1:11" x14ac:dyDescent="0.25">
      <c r="H6">
        <f>'3_Train_NN'!H6</f>
        <v>9.6088713698730829E-2</v>
      </c>
      <c r="I6">
        <f>'3_Train_NN'!I6</f>
        <v>0</v>
      </c>
      <c r="K6">
        <f>'3_Train_NN'!K6</f>
        <v>-0.3</v>
      </c>
    </row>
    <row r="9" spans="1:11" x14ac:dyDescent="0.25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</row>
    <row r="10" spans="1:11" x14ac:dyDescent="0.25">
      <c r="A10">
        <v>0.19381859724667949</v>
      </c>
      <c r="B10">
        <v>0.42030651618480819</v>
      </c>
      <c r="C10">
        <v>0.79157806260494845</v>
      </c>
      <c r="D10">
        <v>0</v>
      </c>
      <c r="E10">
        <f t="shared" ref="E10:E24" si="0">1/(1+EXP(-(A10*$H$2 + B10*$H$3 + C10*$H$4 + $H$6)))</f>
        <v>0.746238973426812</v>
      </c>
      <c r="F10">
        <f t="shared" ref="F10:F24" si="1">1/(1+EXP(-(A10*$I$2 + B10*$I$3 + C10*$I$4 + $I$6)))</f>
        <v>0.79971210784933955</v>
      </c>
      <c r="G10">
        <f t="shared" ref="G10:G24" si="2">1/(1+EXP(-(E10*$K$2 + F10*$K$3 + $K$6)))</f>
        <v>0.66511050895013357</v>
      </c>
      <c r="H10">
        <f t="shared" ref="H10:H24" si="3">(G10-D10)^2</f>
        <v>0.44237198911590569</v>
      </c>
    </row>
    <row r="11" spans="1:11" x14ac:dyDescent="0.25">
      <c r="A11">
        <v>0.56887804960848398</v>
      </c>
      <c r="B11">
        <v>0.81786635613548464</v>
      </c>
      <c r="C11">
        <v>0.25913155392819293</v>
      </c>
      <c r="D11">
        <v>0</v>
      </c>
      <c r="E11">
        <f t="shared" si="0"/>
        <v>0.76768421564704015</v>
      </c>
      <c r="F11">
        <f t="shared" si="1"/>
        <v>0.97137956968384165</v>
      </c>
      <c r="G11">
        <f t="shared" si="2"/>
        <v>0.68115788659733745</v>
      </c>
      <c r="H11">
        <f t="shared" si="3"/>
        <v>0.46397606647375123</v>
      </c>
    </row>
    <row r="12" spans="1:11" x14ac:dyDescent="0.25">
      <c r="A12">
        <v>0</v>
      </c>
      <c r="B12">
        <v>0.65329141830528947</v>
      </c>
      <c r="C12">
        <v>0.36437810194902093</v>
      </c>
      <c r="D12">
        <v>0</v>
      </c>
      <c r="E12">
        <f t="shared" si="0"/>
        <v>0.65545153070776241</v>
      </c>
      <c r="F12">
        <f t="shared" si="1"/>
        <v>0.6362375476045834</v>
      </c>
      <c r="G12">
        <f t="shared" si="2"/>
        <v>0.63328203129111815</v>
      </c>
      <c r="H12">
        <f t="shared" si="3"/>
        <v>0.40104613115620474</v>
      </c>
    </row>
    <row r="13" spans="1:11" x14ac:dyDescent="0.25">
      <c r="A13">
        <v>0.16565913907900531</v>
      </c>
      <c r="B13">
        <v>0.41245070705313569</v>
      </c>
      <c r="C13">
        <v>0.62352353319980325</v>
      </c>
      <c r="D13">
        <v>0</v>
      </c>
      <c r="E13">
        <f t="shared" si="0"/>
        <v>0.71414286949969452</v>
      </c>
      <c r="F13">
        <f t="shared" si="1"/>
        <v>0.77217063651376305</v>
      </c>
      <c r="G13">
        <f t="shared" si="2"/>
        <v>0.65606203889031234</v>
      </c>
      <c r="H13">
        <f t="shared" si="3"/>
        <v>0.43041739887291369</v>
      </c>
    </row>
    <row r="14" spans="1:11" x14ac:dyDescent="0.25">
      <c r="A14">
        <v>0.5657294342116751</v>
      </c>
      <c r="B14">
        <v>0.70505432682286928</v>
      </c>
      <c r="C14">
        <v>0.15698420963336321</v>
      </c>
      <c r="D14">
        <v>0</v>
      </c>
      <c r="E14">
        <f t="shared" si="0"/>
        <v>0.74401086058487609</v>
      </c>
      <c r="F14">
        <f t="shared" si="1"/>
        <v>0.96796568773528213</v>
      </c>
      <c r="G14">
        <f t="shared" si="2"/>
        <v>0.67577020287684386</v>
      </c>
      <c r="H14">
        <f t="shared" si="3"/>
        <v>0.45666536709621069</v>
      </c>
    </row>
    <row r="15" spans="1:11" x14ac:dyDescent="0.25">
      <c r="A15">
        <v>0.70781041231266639</v>
      </c>
      <c r="B15">
        <v>0.58829935102423614</v>
      </c>
      <c r="C15">
        <v>0.4897819767673704</v>
      </c>
      <c r="D15">
        <v>0</v>
      </c>
      <c r="E15">
        <f t="shared" si="0"/>
        <v>0.80584332338468234</v>
      </c>
      <c r="F15">
        <f t="shared" si="1"/>
        <v>0.98302127611728185</v>
      </c>
      <c r="G15">
        <f t="shared" si="2"/>
        <v>0.69013482771270274</v>
      </c>
      <c r="H15">
        <f t="shared" si="3"/>
        <v>0.4762860804220419</v>
      </c>
    </row>
    <row r="16" spans="1:11" x14ac:dyDescent="0.25">
      <c r="A16">
        <v>0.5590417898322767</v>
      </c>
      <c r="B16">
        <v>0.83280273631025326</v>
      </c>
      <c r="C16">
        <v>0.73617164720322403</v>
      </c>
      <c r="D16">
        <v>0</v>
      </c>
      <c r="E16">
        <f t="shared" si="0"/>
        <v>0.82713173589623956</v>
      </c>
      <c r="F16">
        <f t="shared" si="1"/>
        <v>0.97166926710458212</v>
      </c>
      <c r="G16">
        <f t="shared" si="2"/>
        <v>0.69394598413865283</v>
      </c>
      <c r="H16">
        <f t="shared" si="3"/>
        <v>0.4815610289021634</v>
      </c>
    </row>
    <row r="17" spans="1:8" x14ac:dyDescent="0.25">
      <c r="A17">
        <v>0.48374786127962782</v>
      </c>
      <c r="B17">
        <v>0.36411687434890438</v>
      </c>
      <c r="C17">
        <v>7.1037661789862705E-2</v>
      </c>
      <c r="D17">
        <v>0</v>
      </c>
      <c r="E17">
        <f t="shared" si="0"/>
        <v>0.68593419547634005</v>
      </c>
      <c r="F17">
        <f t="shared" si="1"/>
        <v>0.93803029283322292</v>
      </c>
      <c r="G17">
        <f t="shared" si="2"/>
        <v>0.66090802088915235</v>
      </c>
      <c r="H17">
        <f t="shared" si="3"/>
        <v>0.43679941207561623</v>
      </c>
    </row>
    <row r="18" spans="1:8" x14ac:dyDescent="0.25">
      <c r="A18">
        <v>0.43509677836936678</v>
      </c>
      <c r="B18">
        <v>0.46914587119377682</v>
      </c>
      <c r="C18">
        <v>0.48000882619288798</v>
      </c>
      <c r="D18">
        <v>0</v>
      </c>
      <c r="E18">
        <f t="shared" si="0"/>
        <v>0.74935709529506678</v>
      </c>
      <c r="F18">
        <f t="shared" si="1"/>
        <v>0.93078440455182498</v>
      </c>
      <c r="G18">
        <f t="shared" si="2"/>
        <v>0.67449631213770622</v>
      </c>
      <c r="H18">
        <f t="shared" si="3"/>
        <v>0.45494527508736604</v>
      </c>
    </row>
    <row r="19" spans="1:8" x14ac:dyDescent="0.25">
      <c r="A19">
        <v>0.12622105406138789</v>
      </c>
      <c r="B19">
        <v>0.45106664287335929</v>
      </c>
      <c r="C19">
        <v>0.49718105504919929</v>
      </c>
      <c r="D19">
        <v>0</v>
      </c>
      <c r="E19">
        <f t="shared" si="0"/>
        <v>0.68837700836255922</v>
      </c>
      <c r="F19">
        <f t="shared" si="1"/>
        <v>0.73917339498644097</v>
      </c>
      <c r="G19">
        <f t="shared" si="2"/>
        <v>0.64797023428954392</v>
      </c>
      <c r="H19">
        <f t="shared" si="3"/>
        <v>0.41986542452524644</v>
      </c>
    </row>
    <row r="20" spans="1:8" x14ac:dyDescent="0.25">
      <c r="A20">
        <v>0.32524730536263058</v>
      </c>
      <c r="B20">
        <v>0.15050173416152371</v>
      </c>
      <c r="C20">
        <v>0.61629070590751733</v>
      </c>
      <c r="D20">
        <v>1</v>
      </c>
      <c r="E20">
        <f t="shared" si="0"/>
        <v>0.72406757048326298</v>
      </c>
      <c r="F20">
        <f t="shared" si="1"/>
        <v>0.859152293228301</v>
      </c>
      <c r="G20">
        <f t="shared" si="2"/>
        <v>0.66414327767259618</v>
      </c>
      <c r="H20">
        <f t="shared" si="3"/>
        <v>0.11279973793250683</v>
      </c>
    </row>
    <row r="21" spans="1:8" x14ac:dyDescent="0.25">
      <c r="A21">
        <v>0.39324545656119331</v>
      </c>
      <c r="B21">
        <v>0.64413739458067765</v>
      </c>
      <c r="C21">
        <v>0.1555952603105632</v>
      </c>
      <c r="D21">
        <v>0</v>
      </c>
      <c r="E21">
        <f t="shared" si="0"/>
        <v>0.70453359625318868</v>
      </c>
      <c r="F21">
        <f t="shared" si="1"/>
        <v>0.92393803878302394</v>
      </c>
      <c r="G21">
        <f t="shared" si="2"/>
        <v>0.66412136184472892</v>
      </c>
      <c r="H21">
        <f t="shared" si="3"/>
        <v>0.44105718325849735</v>
      </c>
    </row>
    <row r="22" spans="1:8" x14ac:dyDescent="0.25">
      <c r="A22">
        <v>0.79140431769754771</v>
      </c>
      <c r="B22">
        <v>0.63430050532317928</v>
      </c>
      <c r="C22">
        <v>0.1365387454257905</v>
      </c>
      <c r="D22">
        <v>0</v>
      </c>
      <c r="E22">
        <f t="shared" si="0"/>
        <v>0.77699921662016902</v>
      </c>
      <c r="F22">
        <f t="shared" si="1"/>
        <v>0.98877269669855938</v>
      </c>
      <c r="G22">
        <f t="shared" si="2"/>
        <v>0.68430583357465591</v>
      </c>
      <c r="H22">
        <f t="shared" si="3"/>
        <v>0.46827447386430465</v>
      </c>
    </row>
    <row r="23" spans="1:8" x14ac:dyDescent="0.25">
      <c r="A23">
        <v>0.60422865870965148</v>
      </c>
      <c r="B23">
        <v>0.56250039281544451</v>
      </c>
      <c r="C23">
        <v>0.55698433536030201</v>
      </c>
      <c r="D23">
        <v>0</v>
      </c>
      <c r="E23">
        <f t="shared" si="0"/>
        <v>0.79608640725266611</v>
      </c>
      <c r="F23">
        <f t="shared" si="1"/>
        <v>0.97144193294095127</v>
      </c>
      <c r="G23">
        <f t="shared" si="2"/>
        <v>0.68729836091392449</v>
      </c>
      <c r="H23">
        <f t="shared" si="3"/>
        <v>0.47237903691496719</v>
      </c>
    </row>
    <row r="24" spans="1:8" x14ac:dyDescent="0.25">
      <c r="A24">
        <v>5.1582538011947968E-2</v>
      </c>
      <c r="B24">
        <v>0.49525647921228511</v>
      </c>
      <c r="C24">
        <v>0.50564791176766632</v>
      </c>
      <c r="D24">
        <v>0</v>
      </c>
      <c r="E24">
        <f t="shared" si="0"/>
        <v>0.6774807419986788</v>
      </c>
      <c r="F24">
        <f t="shared" si="1"/>
        <v>0.66922516028453582</v>
      </c>
      <c r="G24">
        <f t="shared" si="2"/>
        <v>0.64066423838274766</v>
      </c>
      <c r="H24">
        <f t="shared" si="3"/>
        <v>0.41045066634254612</v>
      </c>
    </row>
    <row r="26" spans="1:8" x14ac:dyDescent="0.25">
      <c r="G26" s="2" t="s">
        <v>24</v>
      </c>
      <c r="H26" s="4">
        <f>SUM(H10:H24)</f>
        <v>6.3688952720402421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8"/>
  <sheetViews>
    <sheetView zoomScale="130" zoomScaleNormal="130" workbookViewId="0">
      <selection activeCell="C18" sqref="C18"/>
    </sheetView>
  </sheetViews>
  <sheetFormatPr baseColWidth="10" defaultColWidth="9.140625" defaultRowHeight="15" x14ac:dyDescent="0.25"/>
  <cols>
    <col min="2" max="2" width="33.28515625" bestFit="1" customWidth="1"/>
    <col min="3" max="4" width="20" customWidth="1"/>
    <col min="6" max="6" width="12" customWidth="1"/>
    <col min="7" max="9" width="15" customWidth="1"/>
  </cols>
  <sheetData>
    <row r="2" spans="1:9" x14ac:dyDescent="0.25">
      <c r="B2" s="2" t="s">
        <v>25</v>
      </c>
      <c r="C2" s="5">
        <v>0.5</v>
      </c>
    </row>
    <row r="4" spans="1:9" x14ac:dyDescent="0.25">
      <c r="B4" s="11" t="s">
        <v>26</v>
      </c>
      <c r="C4" s="12"/>
      <c r="D4" s="12"/>
      <c r="F4" s="11" t="s">
        <v>27</v>
      </c>
      <c r="G4" s="12"/>
      <c r="H4" s="12"/>
      <c r="I4" s="12"/>
    </row>
    <row r="5" spans="1:9" x14ac:dyDescent="0.25">
      <c r="B5" s="6" t="s">
        <v>28</v>
      </c>
      <c r="C5" s="6" t="s">
        <v>29</v>
      </c>
      <c r="D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</row>
    <row r="6" spans="1:9" x14ac:dyDescent="0.25">
      <c r="A6">
        <v>1</v>
      </c>
      <c r="B6" s="2" t="s">
        <v>29</v>
      </c>
      <c r="C6">
        <f>COUNTIFS('3_Train_NN'!$D$10:$D$44,$A6, '3_Train_NN'!$G$10:$G$44, "&gt;="&amp;$C$2)</f>
        <v>3</v>
      </c>
      <c r="D6">
        <f>COUNTIFS('3_Train_NN'!$D$10:$D$44,$A6, '3_Train_NN'!$G$10:$G$44, "&lt;"&amp;$C$2)</f>
        <v>0</v>
      </c>
      <c r="F6">
        <v>0</v>
      </c>
      <c r="G6" s="7"/>
      <c r="H6" s="7"/>
      <c r="I6" s="8">
        <v>0</v>
      </c>
    </row>
    <row r="7" spans="1:9" x14ac:dyDescent="0.25">
      <c r="A7">
        <v>0</v>
      </c>
      <c r="B7" s="2" t="s">
        <v>30</v>
      </c>
      <c r="C7">
        <f>COUNTIFS('3_Train_NN'!$D$10:$D$44,$A7, '3_Train_NN'!$G$10:$G$44, "&gt;="&amp;$C$2)</f>
        <v>32</v>
      </c>
      <c r="D7">
        <f>COUNTIFS('3_Train_NN'!$D$10:$D$44,$A7, '3_Train_NN'!$G$10:$G$44, "&lt;"&amp;$C$2)</f>
        <v>0</v>
      </c>
      <c r="F7">
        <v>0.1</v>
      </c>
      <c r="G7" s="7"/>
      <c r="H7" s="7"/>
      <c r="I7" s="8">
        <f t="shared" ref="I7:I16" si="0">(H6-H7) * (G6+G7) / 2</f>
        <v>0</v>
      </c>
    </row>
    <row r="8" spans="1:9" x14ac:dyDescent="0.25">
      <c r="F8">
        <v>0.2</v>
      </c>
      <c r="G8" s="7"/>
      <c r="H8" s="7"/>
      <c r="I8" s="8">
        <f t="shared" si="0"/>
        <v>0</v>
      </c>
    </row>
    <row r="9" spans="1:9" x14ac:dyDescent="0.25">
      <c r="B9" s="11" t="s">
        <v>35</v>
      </c>
      <c r="C9" s="12"/>
      <c r="F9">
        <v>0.3</v>
      </c>
      <c r="G9" s="7"/>
      <c r="H9" s="7"/>
      <c r="I9" s="8">
        <f t="shared" si="0"/>
        <v>0</v>
      </c>
    </row>
    <row r="10" spans="1:9" x14ac:dyDescent="0.25">
      <c r="B10" s="2" t="s">
        <v>36</v>
      </c>
      <c r="C10" s="9">
        <f>IF((C6+C7)=0, 0, C6/(C6+C7))</f>
        <v>8.5714285714285715E-2</v>
      </c>
      <c r="F10">
        <v>0.4</v>
      </c>
      <c r="G10" s="7"/>
      <c r="H10" s="7"/>
      <c r="I10" s="8">
        <f t="shared" si="0"/>
        <v>0</v>
      </c>
    </row>
    <row r="11" spans="1:9" x14ac:dyDescent="0.25">
      <c r="B11" s="2" t="s">
        <v>37</v>
      </c>
      <c r="C11" s="9">
        <f>IF((C6+D6)=0, 0, C6/(C6+D6))</f>
        <v>1</v>
      </c>
      <c r="F11">
        <v>0.5</v>
      </c>
      <c r="G11" s="7"/>
      <c r="H11" s="7"/>
      <c r="I11" s="8">
        <f t="shared" si="0"/>
        <v>0</v>
      </c>
    </row>
    <row r="12" spans="1:9" x14ac:dyDescent="0.25">
      <c r="B12" s="2" t="s">
        <v>38</v>
      </c>
      <c r="C12" s="9">
        <f>IF((C7+D7)=0, 0, D7/(C7+D7))</f>
        <v>0</v>
      </c>
      <c r="F12">
        <v>0.6</v>
      </c>
      <c r="G12" s="7"/>
      <c r="H12" s="7"/>
      <c r="I12" s="8">
        <f t="shared" si="0"/>
        <v>0</v>
      </c>
    </row>
    <row r="13" spans="1:9" x14ac:dyDescent="0.25">
      <c r="B13" s="2" t="s">
        <v>39</v>
      </c>
      <c r="C13" s="9">
        <f>IF((C10+C11)=0, 0, 2*(C10*C11)/(C10+C11))</f>
        <v>0.15789473684210528</v>
      </c>
      <c r="F13">
        <v>0.7</v>
      </c>
      <c r="G13" s="7"/>
      <c r="H13" s="7"/>
      <c r="I13" s="8">
        <f t="shared" si="0"/>
        <v>0</v>
      </c>
    </row>
    <row r="14" spans="1:9" x14ac:dyDescent="0.25">
      <c r="B14" s="2" t="s">
        <v>40</v>
      </c>
      <c r="C14" s="9">
        <f>(C6+D7)/(C6+D6+C7+D7)</f>
        <v>8.5714285714285715E-2</v>
      </c>
      <c r="F14">
        <v>0.8</v>
      </c>
      <c r="G14" s="7"/>
      <c r="H14" s="7"/>
      <c r="I14" s="8">
        <f t="shared" si="0"/>
        <v>0</v>
      </c>
    </row>
    <row r="15" spans="1:9" x14ac:dyDescent="0.25">
      <c r="F15">
        <v>0.9</v>
      </c>
      <c r="G15" s="7"/>
      <c r="H15" s="7"/>
      <c r="I15" s="8">
        <f t="shared" si="0"/>
        <v>0</v>
      </c>
    </row>
    <row r="16" spans="1:9" x14ac:dyDescent="0.25">
      <c r="F16">
        <v>1</v>
      </c>
      <c r="G16" s="7"/>
      <c r="H16" s="7"/>
      <c r="I16" s="8">
        <f t="shared" si="0"/>
        <v>0</v>
      </c>
    </row>
    <row r="18" spans="8:9" x14ac:dyDescent="0.25">
      <c r="H18" s="2" t="s">
        <v>41</v>
      </c>
      <c r="I18" s="10">
        <f>SUM(I7:I16)</f>
        <v>0</v>
      </c>
    </row>
  </sheetData>
  <mergeCells count="3">
    <mergeCell ref="B9:C9"/>
    <mergeCell ref="F4:I4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1_Datos_Originales</vt:lpstr>
      <vt:lpstr>2_Datos_Escalados</vt:lpstr>
      <vt:lpstr>3_Train_NN</vt:lpstr>
      <vt:lpstr>4_Test_NN</vt:lpstr>
      <vt:lpstr>5_Metricas_Evaluacion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Cristobal Alejandro NuÃ±ez Cuevas</cp:lastModifiedBy>
  <dcterms:created xsi:type="dcterms:W3CDTF">2026-08-13T02:17:05Z</dcterms:created>
  <dcterms:modified xsi:type="dcterms:W3CDTF">2026-09-02T03:43:05Z</dcterms:modified>
</cp:coreProperties>
</file>