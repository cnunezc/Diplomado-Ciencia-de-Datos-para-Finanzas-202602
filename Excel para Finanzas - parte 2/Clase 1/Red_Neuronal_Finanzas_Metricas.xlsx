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Datos_Originales" sheetId="1" state="visible" r:id="rId1"/>
    <sheet xmlns:r="http://schemas.openxmlformats.org/officeDocument/2006/relationships" name="2_Datos_Escalados" sheetId="2" state="visible" r:id="rId2"/>
    <sheet xmlns:r="http://schemas.openxmlformats.org/officeDocument/2006/relationships" name="3_Train_NN" sheetId="3" state="visible" r:id="rId3"/>
    <sheet xmlns:r="http://schemas.openxmlformats.org/officeDocument/2006/relationships" name="4_Test_NN" sheetId="4" state="visible" r:id="rId4"/>
    <sheet xmlns:r="http://schemas.openxmlformats.org/officeDocument/2006/relationships" name="5_Metricas_Evaluac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color rgb="00FF0000"/>
    </font>
  </fonts>
  <fills count="5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CC"/>
        <bgColor rgb="00FFFFCC"/>
      </patternFill>
    </fill>
    <fill>
      <patternFill patternType="solid">
        <fgColor rgb="00D9D9D9"/>
        <b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0" fontId="0" fillId="3" borderId="0" pivotButton="0" quotePrefix="0" xfId="0"/>
    <xf numFmtId="0" fontId="2" fillId="4" borderId="0" pivotButton="0" quotePrefix="0" xfId="0"/>
    <xf numFmtId="2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  <xf numFmtId="165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Edad</t>
        </is>
      </c>
      <c r="B1" s="1" t="inlineStr">
        <is>
          <t>Ingreso</t>
        </is>
      </c>
      <c r="C1" s="1" t="inlineStr">
        <is>
          <t>Deuda_Ingreso</t>
        </is>
      </c>
      <c r="D1" s="1" t="inlineStr">
        <is>
          <t>Default_Real</t>
        </is>
      </c>
    </row>
    <row r="2">
      <c r="A2" t="n">
        <v>44.96714153011233</v>
      </c>
      <c r="B2" t="n">
        <v>54861.25954092192</v>
      </c>
      <c r="C2" t="n">
        <v>0.1584629257949585</v>
      </c>
      <c r="D2" t="n">
        <v>0</v>
      </c>
    </row>
    <row r="3">
      <c r="A3" t="n">
        <v>38.61735698828815</v>
      </c>
      <c r="B3" t="n">
        <v>44223.76579375525</v>
      </c>
      <c r="C3" t="n">
        <v>0.2579354677234641</v>
      </c>
      <c r="D3" t="n">
        <v>0</v>
      </c>
    </row>
    <row r="4">
      <c r="A4" t="n">
        <v>46.47688538100692</v>
      </c>
      <c r="B4" t="n">
        <v>39846.16999541062</v>
      </c>
      <c r="C4" t="n">
        <v>0.2657285483473231</v>
      </c>
      <c r="D4" t="n">
        <v>0</v>
      </c>
    </row>
    <row r="5">
      <c r="A5" t="n">
        <v>55.23029856408026</v>
      </c>
      <c r="B5" t="n">
        <v>59175.14433261302</v>
      </c>
      <c r="C5" t="n">
        <v>0.2197722730778381</v>
      </c>
      <c r="D5" t="n">
        <v>0</v>
      </c>
    </row>
    <row r="6">
      <c r="A6" t="n">
        <v>37.65846625276664</v>
      </c>
      <c r="B6" t="n">
        <v>65464.99283743926</v>
      </c>
      <c r="C6" t="n">
        <v>0.2838714288333991</v>
      </c>
      <c r="D6" t="n">
        <v>0</v>
      </c>
    </row>
    <row r="7">
      <c r="A7" t="n">
        <v>37.6586304305082</v>
      </c>
      <c r="B7" t="n">
        <v>63969.20178674298</v>
      </c>
      <c r="C7" t="n">
        <v>0.3404050856814538</v>
      </c>
      <c r="D7" t="n">
        <v>0</v>
      </c>
    </row>
    <row r="8">
      <c r="A8" t="n">
        <v>55.79212815507391</v>
      </c>
      <c r="B8" t="n">
        <v>37411.73715166042</v>
      </c>
      <c r="C8" t="n">
        <v>0.488618590121053</v>
      </c>
      <c r="D8" t="n">
        <v>1</v>
      </c>
    </row>
    <row r="9">
      <c r="A9" t="n">
        <v>47.67434729152909</v>
      </c>
      <c r="B9" t="n">
        <v>45361.81436223178</v>
      </c>
      <c r="C9" t="n">
        <v>0.3174577812831839</v>
      </c>
      <c r="D9" t="n">
        <v>0</v>
      </c>
    </row>
    <row r="10">
      <c r="A10" t="n">
        <v>35.30525614065048</v>
      </c>
      <c r="B10" t="n">
        <v>54968.95147105346</v>
      </c>
      <c r="C10" t="n">
        <v>0.3257550390722764</v>
      </c>
      <c r="D10" t="n">
        <v>0</v>
      </c>
    </row>
    <row r="11">
      <c r="A11" t="n">
        <v>45.42560043585965</v>
      </c>
      <c r="B11" t="n">
        <v>64633.17690683539</v>
      </c>
      <c r="C11" t="n">
        <v>0.2925554084233833</v>
      </c>
      <c r="D11" t="n">
        <v>0</v>
      </c>
    </row>
    <row r="12">
      <c r="A12" t="n">
        <v>35.36582307187538</v>
      </c>
      <c r="B12" t="n">
        <v>42812.38643232065</v>
      </c>
      <c r="C12" t="n">
        <v>0.1081228784700958</v>
      </c>
      <c r="D12" t="n">
        <v>0</v>
      </c>
    </row>
    <row r="13">
      <c r="A13" t="n">
        <v>35.34270246429743</v>
      </c>
      <c r="B13" t="n">
        <v>47215.11535004275</v>
      </c>
      <c r="C13" t="n">
        <v>0.2973486124550783</v>
      </c>
      <c r="D13" t="n">
        <v>0</v>
      </c>
    </row>
    <row r="14">
      <c r="A14" t="n">
        <v>42.41962271566034</v>
      </c>
      <c r="B14" t="n">
        <v>33404.97538990958</v>
      </c>
      <c r="C14" t="n">
        <v>0.3060230209941026</v>
      </c>
      <c r="D14" t="n">
        <v>0</v>
      </c>
    </row>
    <row r="15">
      <c r="A15" t="n">
        <v>20.86719755342202</v>
      </c>
      <c r="B15" t="n">
        <v>32056.90063878994</v>
      </c>
      <c r="C15" t="n">
        <v>0.5463242112485286</v>
      </c>
      <c r="D15" t="n">
        <v>1</v>
      </c>
    </row>
    <row r="16">
      <c r="A16" t="n">
        <v>22.75082167486967</v>
      </c>
      <c r="B16" t="n">
        <v>62187.88733591297</v>
      </c>
      <c r="C16" t="n">
        <v>0.2807639035218877</v>
      </c>
      <c r="D16" t="n">
        <v>0</v>
      </c>
    </row>
    <row r="17">
      <c r="A17" t="n">
        <v>34.37712470759027</v>
      </c>
      <c r="B17" t="n">
        <v>70343.60042856235</v>
      </c>
      <c r="C17" t="n">
        <v>0.3301547342333612</v>
      </c>
      <c r="D17" t="n">
        <v>0</v>
      </c>
    </row>
    <row r="18">
      <c r="A18" t="n">
        <v>29.87168879665576</v>
      </c>
      <c r="B18" t="n">
        <v>48919.848176295</v>
      </c>
      <c r="C18" t="n">
        <v>0.2965288230294756</v>
      </c>
      <c r="D18" t="n">
        <v>0</v>
      </c>
    </row>
    <row r="19">
      <c r="A19" t="n">
        <v>43.14247332595274</v>
      </c>
      <c r="B19" t="n">
        <v>65052.99346838036</v>
      </c>
      <c r="C19" t="n">
        <v>0.1831321962380468</v>
      </c>
      <c r="D19" t="n">
        <v>0</v>
      </c>
    </row>
    <row r="20">
      <c r="A20" t="n">
        <v>30.91975924478789</v>
      </c>
      <c r="B20" t="n">
        <v>55424.54037571451</v>
      </c>
      <c r="C20" t="n">
        <v>0.414282281451502</v>
      </c>
      <c r="D20" t="n">
        <v>0</v>
      </c>
    </row>
    <row r="21">
      <c r="A21" t="n">
        <v>25.87696298664709</v>
      </c>
      <c r="B21" t="n">
        <v>40323.20368092314</v>
      </c>
      <c r="C21" t="n">
        <v>0.3751933032686774</v>
      </c>
      <c r="D21" t="n">
        <v>0</v>
      </c>
    </row>
    <row r="22">
      <c r="A22" t="n">
        <v>54.65648768921554</v>
      </c>
      <c r="B22" t="n">
        <v>55420.93408262621</v>
      </c>
      <c r="C22" t="n">
        <v>0.3791031947043047</v>
      </c>
      <c r="D22" t="n">
        <v>0</v>
      </c>
    </row>
    <row r="23">
      <c r="A23" t="n">
        <v>37.74223699513465</v>
      </c>
      <c r="B23" t="n">
        <v>73070.54849698953</v>
      </c>
      <c r="C23" t="n">
        <v>0.2090612545205261</v>
      </c>
      <c r="D23" t="n">
        <v>0</v>
      </c>
    </row>
    <row r="24">
      <c r="A24" t="n">
        <v>40.67528204687924</v>
      </c>
      <c r="B24" t="n">
        <v>49462.60941335073</v>
      </c>
      <c r="C24" t="n">
        <v>0.4402794310936099</v>
      </c>
      <c r="D24" t="n">
        <v>0</v>
      </c>
    </row>
    <row r="25">
      <c r="A25" t="n">
        <v>25.75251813786543</v>
      </c>
      <c r="B25" t="n">
        <v>73469.6548372101</v>
      </c>
      <c r="C25" t="n">
        <v>0.1598148937207719</v>
      </c>
      <c r="D25" t="n">
        <v>0</v>
      </c>
    </row>
    <row r="26">
      <c r="A26" t="n">
        <v>34.55617275474818</v>
      </c>
      <c r="B26" t="n">
        <v>20000</v>
      </c>
      <c r="C26" t="n">
        <v>0.358685709380027</v>
      </c>
      <c r="D26" t="n">
        <v>1</v>
      </c>
    </row>
    <row r="27">
      <c r="A27" t="n">
        <v>41.10922589709866</v>
      </c>
      <c r="B27" t="n">
        <v>62328.53756562836</v>
      </c>
      <c r="C27" t="n">
        <v>0.5190455625809979</v>
      </c>
      <c r="D27" t="n">
        <v>0</v>
      </c>
    </row>
    <row r="28">
      <c r="A28" t="n">
        <v>28.49006422577697</v>
      </c>
      <c r="B28" t="n">
        <v>51305.70602357257</v>
      </c>
      <c r="C28" t="n">
        <v>0.2009463674869311</v>
      </c>
      <c r="D28" t="n">
        <v>0</v>
      </c>
    </row>
    <row r="29">
      <c r="A29" t="n">
        <v>43.75698018345672</v>
      </c>
      <c r="B29" t="n">
        <v>45514.88974301199</v>
      </c>
      <c r="C29" t="n">
        <v>0.2433702270397228</v>
      </c>
      <c r="D29" t="n">
        <v>0</v>
      </c>
    </row>
    <row r="30">
      <c r="A30" t="n">
        <v>33.99361310081195</v>
      </c>
      <c r="B30" t="n">
        <v>51376.41164803253</v>
      </c>
      <c r="C30" t="n">
        <v>0.3099651365087641</v>
      </c>
      <c r="D30" t="n">
        <v>0</v>
      </c>
    </row>
    <row r="31">
      <c r="A31" t="n">
        <v>37.08306250206724</v>
      </c>
      <c r="B31" t="n">
        <v>20186.46628098661</v>
      </c>
      <c r="C31" t="n">
        <v>0.2496524345883801</v>
      </c>
      <c r="D31" t="n">
        <v>0</v>
      </c>
    </row>
    <row r="32">
      <c r="A32" t="n">
        <v>33.98293387770603</v>
      </c>
      <c r="B32" t="n">
        <v>46704.92168243732</v>
      </c>
      <c r="C32" t="n">
        <v>0.1449336568933867</v>
      </c>
      <c r="D32" t="n">
        <v>0</v>
      </c>
    </row>
    <row r="33">
      <c r="A33" t="n">
        <v>58.52278184508938</v>
      </c>
      <c r="B33" t="n">
        <v>55356.6885726762</v>
      </c>
      <c r="C33" t="n">
        <v>0.3068562974806027</v>
      </c>
      <c r="D33" t="n">
        <v>0</v>
      </c>
    </row>
    <row r="34">
      <c r="A34" t="n">
        <v>39.86502775262066</v>
      </c>
      <c r="B34" t="n">
        <v>72168.41067112274</v>
      </c>
      <c r="C34" t="n">
        <v>0.1937696286273895</v>
      </c>
      <c r="D34" t="n">
        <v>0</v>
      </c>
    </row>
    <row r="35">
      <c r="A35" t="n">
        <v>29.422890710441</v>
      </c>
      <c r="B35" t="n">
        <v>42225.94672589529</v>
      </c>
      <c r="C35" t="n">
        <v>0.3473592430635182</v>
      </c>
      <c r="D35" t="n">
        <v>0</v>
      </c>
    </row>
    <row r="36">
      <c r="A36" t="n">
        <v>48.22544912103189</v>
      </c>
      <c r="B36" t="n">
        <v>37872.59595660218</v>
      </c>
      <c r="C36" t="n">
        <v>0.2080575765766197</v>
      </c>
      <c r="D36" t="n">
        <v>0</v>
      </c>
    </row>
    <row r="37">
      <c r="A37" t="n">
        <v>27.79156350028978</v>
      </c>
      <c r="B37" t="n">
        <v>42473.64434623195</v>
      </c>
      <c r="C37" t="n">
        <v>0.4549934405017539</v>
      </c>
      <c r="D37" t="n">
        <v>0</v>
      </c>
    </row>
    <row r="38">
      <c r="A38" t="n">
        <v>42.08863595004755</v>
      </c>
      <c r="B38" t="n">
        <v>63731.03176553111</v>
      </c>
      <c r="C38" t="n">
        <v>0.2216746707663763</v>
      </c>
      <c r="D38" t="n">
        <v>0</v>
      </c>
    </row>
    <row r="39">
      <c r="A39" t="n">
        <v>20.40329876120224</v>
      </c>
      <c r="B39" t="n">
        <v>54931.26664489527</v>
      </c>
      <c r="C39" t="n">
        <v>0.2677938483794324</v>
      </c>
      <c r="D39" t="n">
        <v>0</v>
      </c>
    </row>
    <row r="40">
      <c r="A40" t="n">
        <v>26.71813951101569</v>
      </c>
      <c r="B40" t="n">
        <v>42053.59694349442</v>
      </c>
      <c r="C40" t="n">
        <v>0.381351721736967</v>
      </c>
      <c r="D40" t="n">
        <v>0</v>
      </c>
    </row>
    <row r="41">
      <c r="A41" t="n">
        <v>41.96861235869123</v>
      </c>
      <c r="B41" t="n">
        <v>57699.01149670034</v>
      </c>
      <c r="C41" t="n">
        <v>0.1769135683566045</v>
      </c>
      <c r="D41" t="n">
        <v>0</v>
      </c>
    </row>
    <row r="42">
      <c r="A42" t="n">
        <v>47.38466579995411</v>
      </c>
      <c r="B42" t="n">
        <v>51456.16324022061</v>
      </c>
      <c r="C42" t="n">
        <v>0.3227459934604129</v>
      </c>
      <c r="D42" t="n">
        <v>0</v>
      </c>
    </row>
    <row r="43">
      <c r="A43" t="n">
        <v>41.7136828118997</v>
      </c>
      <c r="B43" t="n">
        <v>64529.67485799333</v>
      </c>
      <c r="C43" t="n">
        <v>0.4307142754282428</v>
      </c>
      <c r="D43" t="n">
        <v>0</v>
      </c>
    </row>
    <row r="44">
      <c r="A44" t="n">
        <v>38.84351717611759</v>
      </c>
      <c r="B44" t="n">
        <v>39469.20359183972</v>
      </c>
      <c r="C44" t="n">
        <v>0.1392516765438772</v>
      </c>
      <c r="D44" t="n">
        <v>0</v>
      </c>
    </row>
    <row r="45">
      <c r="A45" t="n">
        <v>36.98896304410711</v>
      </c>
      <c r="B45" t="n">
        <v>45085.06780103347</v>
      </c>
      <c r="C45" t="n">
        <v>0.3184633858532304</v>
      </c>
      <c r="D45" t="n">
        <v>0</v>
      </c>
    </row>
    <row r="46">
      <c r="A46" t="n">
        <v>25.21478009632573</v>
      </c>
      <c r="B46" t="n">
        <v>44118.37770301764</v>
      </c>
      <c r="C46" t="n">
        <v>0.3259882794248423</v>
      </c>
      <c r="D46" t="n">
        <v>0</v>
      </c>
    </row>
    <row r="47">
      <c r="A47" t="n">
        <v>32.80155791605291</v>
      </c>
      <c r="B47" t="n">
        <v>28047.27577801822</v>
      </c>
      <c r="C47" t="n">
        <v>0.3781822871777311</v>
      </c>
      <c r="D47" t="n">
        <v>1</v>
      </c>
    </row>
    <row r="48">
      <c r="A48" t="n">
        <v>35.39361229040212</v>
      </c>
      <c r="B48" t="n">
        <v>54441.80415596864</v>
      </c>
      <c r="C48" t="n">
        <v>0.1763049289121918</v>
      </c>
      <c r="D48" t="n">
        <v>0</v>
      </c>
    </row>
    <row r="49">
      <c r="A49" t="n">
        <v>50.57122226218915</v>
      </c>
      <c r="B49" t="n">
        <v>53915.82908269834</v>
      </c>
      <c r="C49" t="n">
        <v>0.1679543386915724</v>
      </c>
      <c r="D49" t="n">
        <v>0</v>
      </c>
    </row>
    <row r="50">
      <c r="A50" t="n">
        <v>43.43618289568462</v>
      </c>
      <c r="B50" t="n">
        <v>50076.70184963691</v>
      </c>
      <c r="C50" t="n">
        <v>0.3521941565616897</v>
      </c>
      <c r="D50" t="n">
        <v>0</v>
      </c>
    </row>
    <row r="51">
      <c r="A51" t="n">
        <v>22.36959844637266</v>
      </c>
      <c r="B51" t="n">
        <v>46481.1929993728</v>
      </c>
      <c r="C51" t="n">
        <v>0.3296984673233186</v>
      </c>
      <c r="D51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Edad</t>
        </is>
      </c>
      <c r="B1" s="1" t="inlineStr">
        <is>
          <t>Ingreso</t>
        </is>
      </c>
      <c r="C1" s="1" t="inlineStr">
        <is>
          <t>Deuda_Ingreso</t>
        </is>
      </c>
      <c r="D1" s="1" t="inlineStr">
        <is>
          <t>Default_Real</t>
        </is>
      </c>
    </row>
    <row r="2">
      <c r="A2" t="n">
        <v>0.644390762457455</v>
      </c>
      <c r="B2" t="n">
        <v>0.6519821316793241</v>
      </c>
      <c r="C2" t="n">
        <v>0.1148788092580177</v>
      </c>
      <c r="D2" t="n">
        <v>0</v>
      </c>
    </row>
    <row r="3">
      <c r="A3" t="n">
        <v>0.4778149322487764</v>
      </c>
      <c r="B3" t="n">
        <v>0.4530376316717436</v>
      </c>
      <c r="C3" t="n">
        <v>0.341880724788023</v>
      </c>
      <c r="D3" t="n">
        <v>0</v>
      </c>
    </row>
    <row r="4">
      <c r="A4" t="n">
        <v>0.6839963323328963</v>
      </c>
      <c r="B4" t="n">
        <v>0.3711669741619401</v>
      </c>
      <c r="C4" t="n">
        <v>0.3596649715278644</v>
      </c>
      <c r="D4" t="n">
        <v>0</v>
      </c>
    </row>
    <row r="5">
      <c r="A5" t="n">
        <v>0.9136272841432933</v>
      </c>
      <c r="B5" t="n">
        <v>0.732661253413415</v>
      </c>
      <c r="C5" t="n">
        <v>0.2547901757847811</v>
      </c>
      <c r="D5" t="n">
        <v>0</v>
      </c>
    </row>
    <row r="6">
      <c r="A6" t="n">
        <v>0.45266005978077</v>
      </c>
      <c r="B6" t="n">
        <v>0.8502952370995986</v>
      </c>
      <c r="C6" t="n">
        <v>0.4010680415985105</v>
      </c>
      <c r="D6" t="n">
        <v>0</v>
      </c>
    </row>
    <row r="7">
      <c r="A7" t="n">
        <v>0.4526643667054256</v>
      </c>
      <c r="B7" t="n">
        <v>0.8223206587102252</v>
      </c>
      <c r="C7" t="n">
        <v>0.5300810149037283</v>
      </c>
      <c r="D7" t="n">
        <v>0</v>
      </c>
    </row>
    <row r="8">
      <c r="A8" t="n">
        <v>0.9283659307759686</v>
      </c>
      <c r="B8" t="n">
        <v>0.32563773236747</v>
      </c>
      <c r="C8" t="n">
        <v>0.8683125385274599</v>
      </c>
      <c r="D8" t="n">
        <v>1</v>
      </c>
    </row>
    <row r="9">
      <c r="A9" t="n">
        <v>0.7154097150350432</v>
      </c>
      <c r="B9" t="n">
        <v>0.4743216398057282</v>
      </c>
      <c r="C9" t="n">
        <v>0.4777139802058379</v>
      </c>
      <c r="D9" t="n">
        <v>0</v>
      </c>
    </row>
    <row r="10">
      <c r="A10" t="n">
        <v>0.3909275827968192</v>
      </c>
      <c r="B10" t="n">
        <v>0.6539962073351219</v>
      </c>
      <c r="C10" t="n">
        <v>0.4966487874928981</v>
      </c>
      <c r="D10" t="n">
        <v>0</v>
      </c>
    </row>
    <row r="11">
      <c r="A11" t="n">
        <v>0.6564176544470032</v>
      </c>
      <c r="B11" t="n">
        <v>0.8347384519822015</v>
      </c>
      <c r="C11" t="n">
        <v>0.4208853697086811</v>
      </c>
      <c r="D11" t="n">
        <v>0</v>
      </c>
    </row>
    <row r="12">
      <c r="A12" t="n">
        <v>0.3925164535349562</v>
      </c>
      <c r="B12" t="n">
        <v>0.4266417372951746</v>
      </c>
      <c r="C12" t="n">
        <v>0</v>
      </c>
      <c r="D12" t="n">
        <v>0</v>
      </c>
    </row>
    <row r="13">
      <c r="A13" t="n">
        <v>0.3919099236004588</v>
      </c>
      <c r="B13" t="n">
        <v>0.5089824393462039</v>
      </c>
      <c r="C13" t="n">
        <v>0.4318237299398185</v>
      </c>
      <c r="D13" t="n">
        <v>0</v>
      </c>
    </row>
    <row r="14">
      <c r="A14" t="n">
        <v>0.577560926154433</v>
      </c>
      <c r="B14" t="n">
        <v>0.2507024859375175</v>
      </c>
      <c r="C14" t="n">
        <v>0.4516192163752975</v>
      </c>
      <c r="D14" t="n">
        <v>0</v>
      </c>
    </row>
    <row r="15">
      <c r="A15" t="n">
        <v>0.01216959818680919</v>
      </c>
      <c r="B15" t="n">
        <v>0.2254905268324159</v>
      </c>
      <c r="C15" t="n">
        <v>1</v>
      </c>
      <c r="D15" t="n">
        <v>1</v>
      </c>
    </row>
    <row r="16">
      <c r="A16" t="n">
        <v>0.0615832829763558</v>
      </c>
      <c r="B16" t="n">
        <v>0.7890061655410945</v>
      </c>
      <c r="C16" t="n">
        <v>0.3939764946791802</v>
      </c>
      <c r="D16" t="n">
        <v>0</v>
      </c>
    </row>
    <row r="17">
      <c r="A17" t="n">
        <v>0.3665796284707406</v>
      </c>
      <c r="B17" t="n">
        <v>0.9415359156859137</v>
      </c>
      <c r="C17" t="n">
        <v>0.5066891384274522</v>
      </c>
      <c r="D17" t="n">
        <v>0</v>
      </c>
    </row>
    <row r="18">
      <c r="A18" t="n">
        <v>0.2483871571557524</v>
      </c>
      <c r="B18" t="n">
        <v>0.5408646879120934</v>
      </c>
      <c r="C18" t="n">
        <v>0.4299529245262321</v>
      </c>
      <c r="D18" t="n">
        <v>0</v>
      </c>
    </row>
    <row r="19">
      <c r="A19" t="n">
        <v>0.5965236861871875</v>
      </c>
      <c r="B19" t="n">
        <v>0.842589943876494</v>
      </c>
      <c r="C19" t="n">
        <v>0.1711754669762217</v>
      </c>
      <c r="D19" t="n">
        <v>0</v>
      </c>
    </row>
    <row r="20">
      <c r="A20" t="n">
        <v>0.2758815081632334</v>
      </c>
      <c r="B20" t="n">
        <v>0.6625167206252882</v>
      </c>
      <c r="C20" t="n">
        <v>0.6986729160319767</v>
      </c>
      <c r="D20" t="n">
        <v>0</v>
      </c>
    </row>
    <row r="21">
      <c r="A21" t="n">
        <v>0.1435922993341567</v>
      </c>
      <c r="B21" t="n">
        <v>0.3800885519608779</v>
      </c>
      <c r="C21" t="n">
        <v>0.6094696771121417</v>
      </c>
      <c r="D21" t="n">
        <v>0</v>
      </c>
    </row>
    <row r="22">
      <c r="A22" t="n">
        <v>0.8985743288447661</v>
      </c>
      <c r="B22" t="n">
        <v>0.6624492750227444</v>
      </c>
      <c r="C22" t="n">
        <v>0.6183922684945925</v>
      </c>
      <c r="D22" t="n">
        <v>0</v>
      </c>
    </row>
    <row r="23">
      <c r="A23" t="n">
        <v>0.4548576431578492</v>
      </c>
      <c r="B23" t="n">
        <v>0.992535834737747</v>
      </c>
      <c r="C23" t="n">
        <v>0.2303470311475927</v>
      </c>
      <c r="D23" t="n">
        <v>0</v>
      </c>
    </row>
    <row r="24">
      <c r="A24" t="n">
        <v>0.5318011065644759</v>
      </c>
      <c r="B24" t="n">
        <v>0.5510155153058401</v>
      </c>
      <c r="C24" t="n">
        <v>0.757999868502139</v>
      </c>
      <c r="D24" t="n">
        <v>0</v>
      </c>
    </row>
    <row r="25">
      <c r="A25" t="n">
        <v>0.1403276997458623</v>
      </c>
      <c r="B25" t="n">
        <v>1</v>
      </c>
      <c r="C25" t="n">
        <v>0.1179640758345503</v>
      </c>
      <c r="D25" t="n">
        <v>0</v>
      </c>
    </row>
    <row r="26">
      <c r="A26" t="n">
        <v>0.3712766503785111</v>
      </c>
      <c r="B26" t="n">
        <v>0</v>
      </c>
      <c r="C26" t="n">
        <v>0.5717984227049875</v>
      </c>
      <c r="D26" t="n">
        <v>1</v>
      </c>
    </row>
    <row r="27">
      <c r="A27" t="n">
        <v>0.5431848876421066</v>
      </c>
      <c r="B27" t="n">
        <v>0.7916366337972222</v>
      </c>
      <c r="C27" t="n">
        <v>0.9377485949333623</v>
      </c>
      <c r="D27" t="n">
        <v>0</v>
      </c>
    </row>
    <row r="28">
      <c r="A28" t="n">
        <v>0.2121425793413488</v>
      </c>
      <c r="B28" t="n">
        <v>0.5854854705698717</v>
      </c>
      <c r="C28" t="n">
        <v>0.211828404145383</v>
      </c>
      <c r="D28" t="n">
        <v>0</v>
      </c>
    </row>
    <row r="29">
      <c r="A29" t="n">
        <v>0.6126442315826137</v>
      </c>
      <c r="B29" t="n">
        <v>0.4771844856805754</v>
      </c>
      <c r="C29" t="n">
        <v>0.30864202925191</v>
      </c>
      <c r="D29" t="n">
        <v>0</v>
      </c>
    </row>
    <row r="30">
      <c r="A30" t="n">
        <v>0.3565188517824956</v>
      </c>
      <c r="B30" t="n">
        <v>0.5868078210633475</v>
      </c>
      <c r="C30" t="n">
        <v>0.4606153449120739</v>
      </c>
      <c r="D30" t="n">
        <v>0</v>
      </c>
    </row>
    <row r="31">
      <c r="A31" t="n">
        <v>0.4375653180857382</v>
      </c>
      <c r="B31" t="n">
        <v>0.003487329057094373</v>
      </c>
      <c r="C31" t="n">
        <v>0.3229783789586183</v>
      </c>
      <c r="D31" t="n">
        <v>0</v>
      </c>
    </row>
    <row r="32">
      <c r="A32" t="n">
        <v>0.3562387004729299</v>
      </c>
      <c r="B32" t="n">
        <v>0.4994406970409894</v>
      </c>
      <c r="C32" t="n">
        <v>0.08400425938892223</v>
      </c>
      <c r="D32" t="n">
        <v>0</v>
      </c>
    </row>
    <row r="33">
      <c r="A33" t="n">
        <v>1</v>
      </c>
      <c r="B33" t="n">
        <v>0.6612477428612669</v>
      </c>
      <c r="C33" t="n">
        <v>0.4535208000177221</v>
      </c>
      <c r="D33" t="n">
        <v>0</v>
      </c>
    </row>
    <row r="34">
      <c r="A34" t="n">
        <v>0.5105454590921452</v>
      </c>
      <c r="B34" t="n">
        <v>0.9756638757057805</v>
      </c>
      <c r="C34" t="n">
        <v>0.1954506838540337</v>
      </c>
      <c r="D34" t="n">
        <v>0</v>
      </c>
    </row>
    <row r="35">
      <c r="A35" t="n">
        <v>0.2366137003849162</v>
      </c>
      <c r="B35" t="n">
        <v>0.4156740265775574</v>
      </c>
      <c r="C35" t="n">
        <v>0.5459507917890957</v>
      </c>
      <c r="D35" t="n">
        <v>0</v>
      </c>
    </row>
    <row r="36">
      <c r="A36" t="n">
        <v>0.7298669370359299</v>
      </c>
      <c r="B36" t="n">
        <v>0.3342568043690541</v>
      </c>
      <c r="C36" t="n">
        <v>0.2280565818293704</v>
      </c>
      <c r="D36" t="n">
        <v>0</v>
      </c>
    </row>
    <row r="37">
      <c r="A37" t="n">
        <v>0.1938185972466795</v>
      </c>
      <c r="B37" t="n">
        <v>0.4203065161848082</v>
      </c>
      <c r="C37" t="n">
        <v>0.7915780626049485</v>
      </c>
      <c r="D37" t="n">
        <v>0</v>
      </c>
    </row>
    <row r="38">
      <c r="A38" t="n">
        <v>0.568878049608484</v>
      </c>
      <c r="B38" t="n">
        <v>0.8178663561354846</v>
      </c>
      <c r="C38" t="n">
        <v>0.2591315539281929</v>
      </c>
      <c r="D38" t="n">
        <v>0</v>
      </c>
    </row>
    <row r="39">
      <c r="A39" t="n">
        <v>0</v>
      </c>
      <c r="B39" t="n">
        <v>0.6532914183052895</v>
      </c>
      <c r="C39" t="n">
        <v>0.3643781019490209</v>
      </c>
      <c r="D39" t="n">
        <v>0</v>
      </c>
    </row>
    <row r="40">
      <c r="A40" t="n">
        <v>0.1656591390790053</v>
      </c>
      <c r="B40" t="n">
        <v>0.4124507070531357</v>
      </c>
      <c r="C40" t="n">
        <v>0.6235235331998032</v>
      </c>
      <c r="D40" t="n">
        <v>0</v>
      </c>
    </row>
    <row r="41">
      <c r="A41" t="n">
        <v>0.5657294342116751</v>
      </c>
      <c r="B41" t="n">
        <v>0.7050543268228693</v>
      </c>
      <c r="C41" t="n">
        <v>0.1569842096333632</v>
      </c>
      <c r="D41" t="n">
        <v>0</v>
      </c>
    </row>
    <row r="42">
      <c r="A42" t="n">
        <v>0.7078104123126664</v>
      </c>
      <c r="B42" t="n">
        <v>0.5882993510242361</v>
      </c>
      <c r="C42" t="n">
        <v>0.4897819767673704</v>
      </c>
      <c r="D42" t="n">
        <v>0</v>
      </c>
    </row>
    <row r="43">
      <c r="A43" t="n">
        <v>0.5590417898322767</v>
      </c>
      <c r="B43" t="n">
        <v>0.8328027363102533</v>
      </c>
      <c r="C43" t="n">
        <v>0.736171647203224</v>
      </c>
      <c r="D43" t="n">
        <v>0</v>
      </c>
    </row>
    <row r="44">
      <c r="A44" t="n">
        <v>0.4837478612796278</v>
      </c>
      <c r="B44" t="n">
        <v>0.3641168743489044</v>
      </c>
      <c r="C44" t="n">
        <v>0.0710376617898627</v>
      </c>
      <c r="D44" t="n">
        <v>0</v>
      </c>
    </row>
    <row r="45">
      <c r="A45" t="n">
        <v>0.4350967783693668</v>
      </c>
      <c r="B45" t="n">
        <v>0.4691458711937768</v>
      </c>
      <c r="C45" t="n">
        <v>0.480008826192888</v>
      </c>
      <c r="D45" t="n">
        <v>0</v>
      </c>
    </row>
    <row r="46">
      <c r="A46" t="n">
        <v>0.1262210540613879</v>
      </c>
      <c r="B46" t="n">
        <v>0.4510666428733593</v>
      </c>
      <c r="C46" t="n">
        <v>0.4971810550491993</v>
      </c>
      <c r="D46" t="n">
        <v>0</v>
      </c>
    </row>
    <row r="47">
      <c r="A47" t="n">
        <v>0.3252473053626306</v>
      </c>
      <c r="B47" t="n">
        <v>0.1505017341615237</v>
      </c>
      <c r="C47" t="n">
        <v>0.6162907059075173</v>
      </c>
      <c r="D47" t="n">
        <v>1</v>
      </c>
    </row>
    <row r="48">
      <c r="A48" t="n">
        <v>0.3932454565611933</v>
      </c>
      <c r="B48" t="n">
        <v>0.6441373945806776</v>
      </c>
      <c r="C48" t="n">
        <v>0.1555952603105632</v>
      </c>
      <c r="D48" t="n">
        <v>0</v>
      </c>
    </row>
    <row r="49">
      <c r="A49" t="n">
        <v>0.7914043176975477</v>
      </c>
      <c r="B49" t="n">
        <v>0.6343005053231793</v>
      </c>
      <c r="C49" t="n">
        <v>0.1365387454257905</v>
      </c>
      <c r="D49" t="n">
        <v>0</v>
      </c>
    </row>
    <row r="50">
      <c r="A50" t="n">
        <v>0.6042286587096515</v>
      </c>
      <c r="B50" t="n">
        <v>0.5625003928154445</v>
      </c>
      <c r="C50" t="n">
        <v>0.556984335360302</v>
      </c>
      <c r="D50" t="n">
        <v>0</v>
      </c>
    </row>
    <row r="51">
      <c r="A51" t="n">
        <v>0.05158253801194797</v>
      </c>
      <c r="B51" t="n">
        <v>0.4952564792122851</v>
      </c>
      <c r="C51" t="n">
        <v>0.5056479117676663</v>
      </c>
      <c r="D51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</cols>
  <sheetData>
    <row r="1">
      <c r="A1" s="1" t="n"/>
      <c r="B1" s="1" t="n"/>
      <c r="C1" s="1" t="n"/>
      <c r="D1" s="1" t="n"/>
      <c r="E1" s="1" t="n"/>
      <c r="F1" s="1" t="n"/>
      <c r="G1" s="1" t="n"/>
      <c r="H1" s="1" t="inlineStr">
        <is>
          <t>Pesos W1 (H1)</t>
        </is>
      </c>
      <c r="I1" s="1" t="inlineStr">
        <is>
          <t>Pesos W1 (H2)</t>
        </is>
      </c>
      <c r="J1" s="1" t="n"/>
      <c r="K1" s="1" t="inlineStr">
        <is>
          <t>Pesos W2 (Salida)</t>
        </is>
      </c>
      <c r="L1" s="1" t="n"/>
      <c r="M1" s="1" t="n"/>
    </row>
    <row r="2">
      <c r="H2" t="n">
        <v>0.5</v>
      </c>
      <c r="I2" t="n">
        <v>-0.5</v>
      </c>
      <c r="K2" t="n">
        <v>0.7</v>
      </c>
      <c r="M2" s="2" t="inlineStr">
        <is>
          <t>Instrucciones para Entrenamiento (Solver):</t>
        </is>
      </c>
    </row>
    <row r="3">
      <c r="H3" t="n">
        <v>-0.2</v>
      </c>
      <c r="I3" t="n">
        <v>0.8</v>
      </c>
      <c r="K3" t="n">
        <v>-0.4</v>
      </c>
      <c r="M3" t="inlineStr">
        <is>
          <t>1. Objetivo: H46 (Error Total) a Mínimo.</t>
        </is>
      </c>
    </row>
    <row r="4">
      <c r="H4" t="n">
        <v>0.9</v>
      </c>
      <c r="I4" t="n">
        <v>0.1</v>
      </c>
      <c r="M4" t="inlineStr">
        <is>
          <t>2. Cambiando celdas: H2:I4, H6:I6, K2:K3, K6.</t>
        </is>
      </c>
    </row>
    <row r="5">
      <c r="H5" t="inlineStr">
        <is>
          <t>Sesgos B1 (H1)</t>
        </is>
      </c>
      <c r="I5" t="inlineStr">
        <is>
          <t>Sesgos B1 (H2)</t>
        </is>
      </c>
      <c r="K5" t="inlineStr">
        <is>
          <t>Sesgo B2</t>
        </is>
      </c>
      <c r="M5" t="inlineStr">
        <is>
          <t>3. Método: GRG Nonlinear. Haz clic en "Resolver".</t>
        </is>
      </c>
    </row>
    <row r="6">
      <c r="H6" t="n">
        <v>0.1</v>
      </c>
      <c r="I6" t="n">
        <v>-0.1</v>
      </c>
      <c r="K6" t="n">
        <v>0.2</v>
      </c>
    </row>
    <row r="9">
      <c r="A9" s="3" t="inlineStr">
        <is>
          <t>Edad_S</t>
        </is>
      </c>
      <c r="B9" s="3" t="inlineStr">
        <is>
          <t>Ingreso_S</t>
        </is>
      </c>
      <c r="C9" s="3" t="inlineStr">
        <is>
          <t>Deuda_S</t>
        </is>
      </c>
      <c r="D9" s="3" t="inlineStr">
        <is>
          <t>Y_Real</t>
        </is>
      </c>
      <c r="E9" s="3" t="inlineStr">
        <is>
          <t>Neurona_H1</t>
        </is>
      </c>
      <c r="F9" s="3" t="inlineStr">
        <is>
          <t>Neurona_H2</t>
        </is>
      </c>
      <c r="G9" s="3" t="inlineStr">
        <is>
          <t>Pred_Final</t>
        </is>
      </c>
      <c r="H9" s="3" t="inlineStr">
        <is>
          <t>Error_Sq</t>
        </is>
      </c>
    </row>
    <row r="10">
      <c r="A10" t="n">
        <v>0.644390762457455</v>
      </c>
      <c r="B10" t="n">
        <v>0.6519821316793241</v>
      </c>
      <c r="C10" t="n">
        <v>0.1148788092580177</v>
      </c>
      <c r="D10" t="n">
        <v>0</v>
      </c>
      <c r="E10">
        <f>1/(1+EXP(-(A10*$H$2 + B10*$H$3 + C10*$H$4 + $H$6)))</f>
        <v/>
      </c>
      <c r="F10">
        <f>1/(1+EXP(-(A10*$I$2 + B10*$I$3 + C10*$I$4 + $I$6)))</f>
        <v/>
      </c>
      <c r="G10">
        <f>1/(1+EXP(-(E10*$K$2 + F10*$K$3 + $K$6)))</f>
        <v/>
      </c>
      <c r="H10">
        <f>(G10-D10)^2</f>
        <v/>
      </c>
    </row>
    <row r="11">
      <c r="A11" t="n">
        <v>0.4778149322487764</v>
      </c>
      <c r="B11" t="n">
        <v>0.4530376316717436</v>
      </c>
      <c r="C11" t="n">
        <v>0.341880724788023</v>
      </c>
      <c r="D11" t="n">
        <v>0</v>
      </c>
      <c r="E11">
        <f>1/(1+EXP(-(A11*$H$2 + B11*$H$3 + C11*$H$4 + $H$6)))</f>
        <v/>
      </c>
      <c r="F11">
        <f>1/(1+EXP(-(A11*$I$2 + B11*$I$3 + C11*$I$4 + $I$6)))</f>
        <v/>
      </c>
      <c r="G11">
        <f>1/(1+EXP(-(E11*$K$2 + F11*$K$3 + $K$6)))</f>
        <v/>
      </c>
      <c r="H11">
        <f>(G11-D11)^2</f>
        <v/>
      </c>
    </row>
    <row r="12">
      <c r="A12" t="n">
        <v>0.6839963323328963</v>
      </c>
      <c r="B12" t="n">
        <v>0.3711669741619401</v>
      </c>
      <c r="C12" t="n">
        <v>0.3596649715278644</v>
      </c>
      <c r="D12" t="n">
        <v>0</v>
      </c>
      <c r="E12">
        <f>1/(1+EXP(-(A12*$H$2 + B12*$H$3 + C12*$H$4 + $H$6)))</f>
        <v/>
      </c>
      <c r="F12">
        <f>1/(1+EXP(-(A12*$I$2 + B12*$I$3 + C12*$I$4 + $I$6)))</f>
        <v/>
      </c>
      <c r="G12">
        <f>1/(1+EXP(-(E12*$K$2 + F12*$K$3 + $K$6)))</f>
        <v/>
      </c>
      <c r="H12">
        <f>(G12-D12)^2</f>
        <v/>
      </c>
    </row>
    <row r="13">
      <c r="A13" t="n">
        <v>0.9136272841432933</v>
      </c>
      <c r="B13" t="n">
        <v>0.732661253413415</v>
      </c>
      <c r="C13" t="n">
        <v>0.2547901757847811</v>
      </c>
      <c r="D13" t="n">
        <v>0</v>
      </c>
      <c r="E13">
        <f>1/(1+EXP(-(A13*$H$2 + B13*$H$3 + C13*$H$4 + $H$6)))</f>
        <v/>
      </c>
      <c r="F13">
        <f>1/(1+EXP(-(A13*$I$2 + B13*$I$3 + C13*$I$4 + $I$6)))</f>
        <v/>
      </c>
      <c r="G13">
        <f>1/(1+EXP(-(E13*$K$2 + F13*$K$3 + $K$6)))</f>
        <v/>
      </c>
      <c r="H13">
        <f>(G13-D13)^2</f>
        <v/>
      </c>
    </row>
    <row r="14">
      <c r="A14" t="n">
        <v>0.45266005978077</v>
      </c>
      <c r="B14" t="n">
        <v>0.8502952370995986</v>
      </c>
      <c r="C14" t="n">
        <v>0.4010680415985105</v>
      </c>
      <c r="D14" t="n">
        <v>0</v>
      </c>
      <c r="E14">
        <f>1/(1+EXP(-(A14*$H$2 + B14*$H$3 + C14*$H$4 + $H$6)))</f>
        <v/>
      </c>
      <c r="F14">
        <f>1/(1+EXP(-(A14*$I$2 + B14*$I$3 + C14*$I$4 + $I$6)))</f>
        <v/>
      </c>
      <c r="G14">
        <f>1/(1+EXP(-(E14*$K$2 + F14*$K$3 + $K$6)))</f>
        <v/>
      </c>
      <c r="H14">
        <f>(G14-D14)^2</f>
        <v/>
      </c>
    </row>
    <row r="15">
      <c r="A15" t="n">
        <v>0.4526643667054256</v>
      </c>
      <c r="B15" t="n">
        <v>0.8223206587102252</v>
      </c>
      <c r="C15" t="n">
        <v>0.5300810149037283</v>
      </c>
      <c r="D15" t="n">
        <v>0</v>
      </c>
      <c r="E15">
        <f>1/(1+EXP(-(A15*$H$2 + B15*$H$3 + C15*$H$4 + $H$6)))</f>
        <v/>
      </c>
      <c r="F15">
        <f>1/(1+EXP(-(A15*$I$2 + B15*$I$3 + C15*$I$4 + $I$6)))</f>
        <v/>
      </c>
      <c r="G15">
        <f>1/(1+EXP(-(E15*$K$2 + F15*$K$3 + $K$6)))</f>
        <v/>
      </c>
      <c r="H15">
        <f>(G15-D15)^2</f>
        <v/>
      </c>
    </row>
    <row r="16">
      <c r="A16" t="n">
        <v>0.9283659307759686</v>
      </c>
      <c r="B16" t="n">
        <v>0.32563773236747</v>
      </c>
      <c r="C16" t="n">
        <v>0.8683125385274599</v>
      </c>
      <c r="D16" t="n">
        <v>1</v>
      </c>
      <c r="E16">
        <f>1/(1+EXP(-(A16*$H$2 + B16*$H$3 + C16*$H$4 + $H$6)))</f>
        <v/>
      </c>
      <c r="F16">
        <f>1/(1+EXP(-(A16*$I$2 + B16*$I$3 + C16*$I$4 + $I$6)))</f>
        <v/>
      </c>
      <c r="G16">
        <f>1/(1+EXP(-(E16*$K$2 + F16*$K$3 + $K$6)))</f>
        <v/>
      </c>
      <c r="H16">
        <f>(G16-D16)^2</f>
        <v/>
      </c>
    </row>
    <row r="17">
      <c r="A17" t="n">
        <v>0.7154097150350432</v>
      </c>
      <c r="B17" t="n">
        <v>0.4743216398057282</v>
      </c>
      <c r="C17" t="n">
        <v>0.4777139802058379</v>
      </c>
      <c r="D17" t="n">
        <v>0</v>
      </c>
      <c r="E17">
        <f>1/(1+EXP(-(A17*$H$2 + B17*$H$3 + C17*$H$4 + $H$6)))</f>
        <v/>
      </c>
      <c r="F17">
        <f>1/(1+EXP(-(A17*$I$2 + B17*$I$3 + C17*$I$4 + $I$6)))</f>
        <v/>
      </c>
      <c r="G17">
        <f>1/(1+EXP(-(E17*$K$2 + F17*$K$3 + $K$6)))</f>
        <v/>
      </c>
      <c r="H17">
        <f>(G17-D17)^2</f>
        <v/>
      </c>
    </row>
    <row r="18">
      <c r="A18" t="n">
        <v>0.3909275827968192</v>
      </c>
      <c r="B18" t="n">
        <v>0.6539962073351219</v>
      </c>
      <c r="C18" t="n">
        <v>0.4966487874928981</v>
      </c>
      <c r="D18" t="n">
        <v>0</v>
      </c>
      <c r="E18">
        <f>1/(1+EXP(-(A18*$H$2 + B18*$H$3 + C18*$H$4 + $H$6)))</f>
        <v/>
      </c>
      <c r="F18">
        <f>1/(1+EXP(-(A18*$I$2 + B18*$I$3 + C18*$I$4 + $I$6)))</f>
        <v/>
      </c>
      <c r="G18">
        <f>1/(1+EXP(-(E18*$K$2 + F18*$K$3 + $K$6)))</f>
        <v/>
      </c>
      <c r="H18">
        <f>(G18-D18)^2</f>
        <v/>
      </c>
    </row>
    <row r="19">
      <c r="A19" t="n">
        <v>0.6564176544470032</v>
      </c>
      <c r="B19" t="n">
        <v>0.8347384519822015</v>
      </c>
      <c r="C19" t="n">
        <v>0.4208853697086811</v>
      </c>
      <c r="D19" t="n">
        <v>0</v>
      </c>
      <c r="E19">
        <f>1/(1+EXP(-(A19*$H$2 + B19*$H$3 + C19*$H$4 + $H$6)))</f>
        <v/>
      </c>
      <c r="F19">
        <f>1/(1+EXP(-(A19*$I$2 + B19*$I$3 + C19*$I$4 + $I$6)))</f>
        <v/>
      </c>
      <c r="G19">
        <f>1/(1+EXP(-(E19*$K$2 + F19*$K$3 + $K$6)))</f>
        <v/>
      </c>
      <c r="H19">
        <f>(G19-D19)^2</f>
        <v/>
      </c>
    </row>
    <row r="20">
      <c r="A20" t="n">
        <v>0.3925164535349562</v>
      </c>
      <c r="B20" t="n">
        <v>0.4266417372951746</v>
      </c>
      <c r="C20" t="n">
        <v>0</v>
      </c>
      <c r="D20" t="n">
        <v>0</v>
      </c>
      <c r="E20">
        <f>1/(1+EXP(-(A20*$H$2 + B20*$H$3 + C20*$H$4 + $H$6)))</f>
        <v/>
      </c>
      <c r="F20">
        <f>1/(1+EXP(-(A20*$I$2 + B20*$I$3 + C20*$I$4 + $I$6)))</f>
        <v/>
      </c>
      <c r="G20">
        <f>1/(1+EXP(-(E20*$K$2 + F20*$K$3 + $K$6)))</f>
        <v/>
      </c>
      <c r="H20">
        <f>(G20-D20)^2</f>
        <v/>
      </c>
    </row>
    <row r="21">
      <c r="A21" t="n">
        <v>0.3919099236004588</v>
      </c>
      <c r="B21" t="n">
        <v>0.5089824393462039</v>
      </c>
      <c r="C21" t="n">
        <v>0.4318237299398185</v>
      </c>
      <c r="D21" t="n">
        <v>0</v>
      </c>
      <c r="E21">
        <f>1/(1+EXP(-(A21*$H$2 + B21*$H$3 + C21*$H$4 + $H$6)))</f>
        <v/>
      </c>
      <c r="F21">
        <f>1/(1+EXP(-(A21*$I$2 + B21*$I$3 + C21*$I$4 + $I$6)))</f>
        <v/>
      </c>
      <c r="G21">
        <f>1/(1+EXP(-(E21*$K$2 + F21*$K$3 + $K$6)))</f>
        <v/>
      </c>
      <c r="H21">
        <f>(G21-D21)^2</f>
        <v/>
      </c>
    </row>
    <row r="22">
      <c r="A22" t="n">
        <v>0.577560926154433</v>
      </c>
      <c r="B22" t="n">
        <v>0.2507024859375175</v>
      </c>
      <c r="C22" t="n">
        <v>0.4516192163752975</v>
      </c>
      <c r="D22" t="n">
        <v>0</v>
      </c>
      <c r="E22">
        <f>1/(1+EXP(-(A22*$H$2 + B22*$H$3 + C22*$H$4 + $H$6)))</f>
        <v/>
      </c>
      <c r="F22">
        <f>1/(1+EXP(-(A22*$I$2 + B22*$I$3 + C22*$I$4 + $I$6)))</f>
        <v/>
      </c>
      <c r="G22">
        <f>1/(1+EXP(-(E22*$K$2 + F22*$K$3 + $K$6)))</f>
        <v/>
      </c>
      <c r="H22">
        <f>(G22-D22)^2</f>
        <v/>
      </c>
    </row>
    <row r="23">
      <c r="A23" t="n">
        <v>0.01216959818680919</v>
      </c>
      <c r="B23" t="n">
        <v>0.2254905268324159</v>
      </c>
      <c r="C23" t="n">
        <v>1</v>
      </c>
      <c r="D23" t="n">
        <v>1</v>
      </c>
      <c r="E23">
        <f>1/(1+EXP(-(A23*$H$2 + B23*$H$3 + C23*$H$4 + $H$6)))</f>
        <v/>
      </c>
      <c r="F23">
        <f>1/(1+EXP(-(A23*$I$2 + B23*$I$3 + C23*$I$4 + $I$6)))</f>
        <v/>
      </c>
      <c r="G23">
        <f>1/(1+EXP(-(E23*$K$2 + F23*$K$3 + $K$6)))</f>
        <v/>
      </c>
      <c r="H23">
        <f>(G23-D23)^2</f>
        <v/>
      </c>
    </row>
    <row r="24">
      <c r="A24" t="n">
        <v>0.0615832829763558</v>
      </c>
      <c r="B24" t="n">
        <v>0.7890061655410945</v>
      </c>
      <c r="C24" t="n">
        <v>0.3939764946791802</v>
      </c>
      <c r="D24" t="n">
        <v>0</v>
      </c>
      <c r="E24">
        <f>1/(1+EXP(-(A24*$H$2 + B24*$H$3 + C24*$H$4 + $H$6)))</f>
        <v/>
      </c>
      <c r="F24">
        <f>1/(1+EXP(-(A24*$I$2 + B24*$I$3 + C24*$I$4 + $I$6)))</f>
        <v/>
      </c>
      <c r="G24">
        <f>1/(1+EXP(-(E24*$K$2 + F24*$K$3 + $K$6)))</f>
        <v/>
      </c>
      <c r="H24">
        <f>(G24-D24)^2</f>
        <v/>
      </c>
    </row>
    <row r="25">
      <c r="A25" t="n">
        <v>0.3665796284707406</v>
      </c>
      <c r="B25" t="n">
        <v>0.9415359156859137</v>
      </c>
      <c r="C25" t="n">
        <v>0.5066891384274522</v>
      </c>
      <c r="D25" t="n">
        <v>0</v>
      </c>
      <c r="E25">
        <f>1/(1+EXP(-(A25*$H$2 + B25*$H$3 + C25*$H$4 + $H$6)))</f>
        <v/>
      </c>
      <c r="F25">
        <f>1/(1+EXP(-(A25*$I$2 + B25*$I$3 + C25*$I$4 + $I$6)))</f>
        <v/>
      </c>
      <c r="G25">
        <f>1/(1+EXP(-(E25*$K$2 + F25*$K$3 + $K$6)))</f>
        <v/>
      </c>
      <c r="H25">
        <f>(G25-D25)^2</f>
        <v/>
      </c>
    </row>
    <row r="26">
      <c r="A26" t="n">
        <v>0.2483871571557524</v>
      </c>
      <c r="B26" t="n">
        <v>0.5408646879120934</v>
      </c>
      <c r="C26" t="n">
        <v>0.4299529245262321</v>
      </c>
      <c r="D26" t="n">
        <v>0</v>
      </c>
      <c r="E26">
        <f>1/(1+EXP(-(A26*$H$2 + B26*$H$3 + C26*$H$4 + $H$6)))</f>
        <v/>
      </c>
      <c r="F26">
        <f>1/(1+EXP(-(A26*$I$2 + B26*$I$3 + C26*$I$4 + $I$6)))</f>
        <v/>
      </c>
      <c r="G26">
        <f>1/(1+EXP(-(E26*$K$2 + F26*$K$3 + $K$6)))</f>
        <v/>
      </c>
      <c r="H26">
        <f>(G26-D26)^2</f>
        <v/>
      </c>
    </row>
    <row r="27">
      <c r="A27" t="n">
        <v>0.5965236861871875</v>
      </c>
      <c r="B27" t="n">
        <v>0.842589943876494</v>
      </c>
      <c r="C27" t="n">
        <v>0.1711754669762217</v>
      </c>
      <c r="D27" t="n">
        <v>0</v>
      </c>
      <c r="E27">
        <f>1/(1+EXP(-(A27*$H$2 + B27*$H$3 + C27*$H$4 + $H$6)))</f>
        <v/>
      </c>
      <c r="F27">
        <f>1/(1+EXP(-(A27*$I$2 + B27*$I$3 + C27*$I$4 + $I$6)))</f>
        <v/>
      </c>
      <c r="G27">
        <f>1/(1+EXP(-(E27*$K$2 + F27*$K$3 + $K$6)))</f>
        <v/>
      </c>
      <c r="H27">
        <f>(G27-D27)^2</f>
        <v/>
      </c>
    </row>
    <row r="28">
      <c r="A28" t="n">
        <v>0.2758815081632334</v>
      </c>
      <c r="B28" t="n">
        <v>0.6625167206252882</v>
      </c>
      <c r="C28" t="n">
        <v>0.6986729160319767</v>
      </c>
      <c r="D28" t="n">
        <v>0</v>
      </c>
      <c r="E28">
        <f>1/(1+EXP(-(A28*$H$2 + B28*$H$3 + C28*$H$4 + $H$6)))</f>
        <v/>
      </c>
      <c r="F28">
        <f>1/(1+EXP(-(A28*$I$2 + B28*$I$3 + C28*$I$4 + $I$6)))</f>
        <v/>
      </c>
      <c r="G28">
        <f>1/(1+EXP(-(E28*$K$2 + F28*$K$3 + $K$6)))</f>
        <v/>
      </c>
      <c r="H28">
        <f>(G28-D28)^2</f>
        <v/>
      </c>
    </row>
    <row r="29">
      <c r="A29" t="n">
        <v>0.1435922993341567</v>
      </c>
      <c r="B29" t="n">
        <v>0.3800885519608779</v>
      </c>
      <c r="C29" t="n">
        <v>0.6094696771121417</v>
      </c>
      <c r="D29" t="n">
        <v>0</v>
      </c>
      <c r="E29">
        <f>1/(1+EXP(-(A29*$H$2 + B29*$H$3 + C29*$H$4 + $H$6)))</f>
        <v/>
      </c>
      <c r="F29">
        <f>1/(1+EXP(-(A29*$I$2 + B29*$I$3 + C29*$I$4 + $I$6)))</f>
        <v/>
      </c>
      <c r="G29">
        <f>1/(1+EXP(-(E29*$K$2 + F29*$K$3 + $K$6)))</f>
        <v/>
      </c>
      <c r="H29">
        <f>(G29-D29)^2</f>
        <v/>
      </c>
    </row>
    <row r="30">
      <c r="A30" t="n">
        <v>0.8985743288447661</v>
      </c>
      <c r="B30" t="n">
        <v>0.6624492750227444</v>
      </c>
      <c r="C30" t="n">
        <v>0.6183922684945925</v>
      </c>
      <c r="D30" t="n">
        <v>0</v>
      </c>
      <c r="E30">
        <f>1/(1+EXP(-(A30*$H$2 + B30*$H$3 + C30*$H$4 + $H$6)))</f>
        <v/>
      </c>
      <c r="F30">
        <f>1/(1+EXP(-(A30*$I$2 + B30*$I$3 + C30*$I$4 + $I$6)))</f>
        <v/>
      </c>
      <c r="G30">
        <f>1/(1+EXP(-(E30*$K$2 + F30*$K$3 + $K$6)))</f>
        <v/>
      </c>
      <c r="H30">
        <f>(G30-D30)^2</f>
        <v/>
      </c>
    </row>
    <row r="31">
      <c r="A31" t="n">
        <v>0.4548576431578492</v>
      </c>
      <c r="B31" t="n">
        <v>0.992535834737747</v>
      </c>
      <c r="C31" t="n">
        <v>0.2303470311475927</v>
      </c>
      <c r="D31" t="n">
        <v>0</v>
      </c>
      <c r="E31">
        <f>1/(1+EXP(-(A31*$H$2 + B31*$H$3 + C31*$H$4 + $H$6)))</f>
        <v/>
      </c>
      <c r="F31">
        <f>1/(1+EXP(-(A31*$I$2 + B31*$I$3 + C31*$I$4 + $I$6)))</f>
        <v/>
      </c>
      <c r="G31">
        <f>1/(1+EXP(-(E31*$K$2 + F31*$K$3 + $K$6)))</f>
        <v/>
      </c>
      <c r="H31">
        <f>(G31-D31)^2</f>
        <v/>
      </c>
    </row>
    <row r="32">
      <c r="A32" t="n">
        <v>0.5318011065644759</v>
      </c>
      <c r="B32" t="n">
        <v>0.5510155153058401</v>
      </c>
      <c r="C32" t="n">
        <v>0.757999868502139</v>
      </c>
      <c r="D32" t="n">
        <v>0</v>
      </c>
      <c r="E32">
        <f>1/(1+EXP(-(A32*$H$2 + B32*$H$3 + C32*$H$4 + $H$6)))</f>
        <v/>
      </c>
      <c r="F32">
        <f>1/(1+EXP(-(A32*$I$2 + B32*$I$3 + C32*$I$4 + $I$6)))</f>
        <v/>
      </c>
      <c r="G32">
        <f>1/(1+EXP(-(E32*$K$2 + F32*$K$3 + $K$6)))</f>
        <v/>
      </c>
      <c r="H32">
        <f>(G32-D32)^2</f>
        <v/>
      </c>
    </row>
    <row r="33">
      <c r="A33" t="n">
        <v>0.1403276997458623</v>
      </c>
      <c r="B33" t="n">
        <v>1</v>
      </c>
      <c r="C33" t="n">
        <v>0.1179640758345503</v>
      </c>
      <c r="D33" t="n">
        <v>0</v>
      </c>
      <c r="E33">
        <f>1/(1+EXP(-(A33*$H$2 + B33*$H$3 + C33*$H$4 + $H$6)))</f>
        <v/>
      </c>
      <c r="F33">
        <f>1/(1+EXP(-(A33*$I$2 + B33*$I$3 + C33*$I$4 + $I$6)))</f>
        <v/>
      </c>
      <c r="G33">
        <f>1/(1+EXP(-(E33*$K$2 + F33*$K$3 + $K$6)))</f>
        <v/>
      </c>
      <c r="H33">
        <f>(G33-D33)^2</f>
        <v/>
      </c>
    </row>
    <row r="34">
      <c r="A34" t="n">
        <v>0.3712766503785111</v>
      </c>
      <c r="B34" t="n">
        <v>0</v>
      </c>
      <c r="C34" t="n">
        <v>0.5717984227049875</v>
      </c>
      <c r="D34" t="n">
        <v>1</v>
      </c>
      <c r="E34">
        <f>1/(1+EXP(-(A34*$H$2 + B34*$H$3 + C34*$H$4 + $H$6)))</f>
        <v/>
      </c>
      <c r="F34">
        <f>1/(1+EXP(-(A34*$I$2 + B34*$I$3 + C34*$I$4 + $I$6)))</f>
        <v/>
      </c>
      <c r="G34">
        <f>1/(1+EXP(-(E34*$K$2 + F34*$K$3 + $K$6)))</f>
        <v/>
      </c>
      <c r="H34">
        <f>(G34-D34)^2</f>
        <v/>
      </c>
    </row>
    <row r="35">
      <c r="A35" t="n">
        <v>0.5431848876421066</v>
      </c>
      <c r="B35" t="n">
        <v>0.7916366337972222</v>
      </c>
      <c r="C35" t="n">
        <v>0.9377485949333623</v>
      </c>
      <c r="D35" t="n">
        <v>0</v>
      </c>
      <c r="E35">
        <f>1/(1+EXP(-(A35*$H$2 + B35*$H$3 + C35*$H$4 + $H$6)))</f>
        <v/>
      </c>
      <c r="F35">
        <f>1/(1+EXP(-(A35*$I$2 + B35*$I$3 + C35*$I$4 + $I$6)))</f>
        <v/>
      </c>
      <c r="G35">
        <f>1/(1+EXP(-(E35*$K$2 + F35*$K$3 + $K$6)))</f>
        <v/>
      </c>
      <c r="H35">
        <f>(G35-D35)^2</f>
        <v/>
      </c>
    </row>
    <row r="36">
      <c r="A36" t="n">
        <v>0.2121425793413488</v>
      </c>
      <c r="B36" t="n">
        <v>0.5854854705698717</v>
      </c>
      <c r="C36" t="n">
        <v>0.211828404145383</v>
      </c>
      <c r="D36" t="n">
        <v>0</v>
      </c>
      <c r="E36">
        <f>1/(1+EXP(-(A36*$H$2 + B36*$H$3 + C36*$H$4 + $H$6)))</f>
        <v/>
      </c>
      <c r="F36">
        <f>1/(1+EXP(-(A36*$I$2 + B36*$I$3 + C36*$I$4 + $I$6)))</f>
        <v/>
      </c>
      <c r="G36">
        <f>1/(1+EXP(-(E36*$K$2 + F36*$K$3 + $K$6)))</f>
        <v/>
      </c>
      <c r="H36">
        <f>(G36-D36)^2</f>
        <v/>
      </c>
    </row>
    <row r="37">
      <c r="A37" t="n">
        <v>0.6126442315826137</v>
      </c>
      <c r="B37" t="n">
        <v>0.4771844856805754</v>
      </c>
      <c r="C37" t="n">
        <v>0.30864202925191</v>
      </c>
      <c r="D37" t="n">
        <v>0</v>
      </c>
      <c r="E37">
        <f>1/(1+EXP(-(A37*$H$2 + B37*$H$3 + C37*$H$4 + $H$6)))</f>
        <v/>
      </c>
      <c r="F37">
        <f>1/(1+EXP(-(A37*$I$2 + B37*$I$3 + C37*$I$4 + $I$6)))</f>
        <v/>
      </c>
      <c r="G37">
        <f>1/(1+EXP(-(E37*$K$2 + F37*$K$3 + $K$6)))</f>
        <v/>
      </c>
      <c r="H37">
        <f>(G37-D37)^2</f>
        <v/>
      </c>
    </row>
    <row r="38">
      <c r="A38" t="n">
        <v>0.3565188517824956</v>
      </c>
      <c r="B38" t="n">
        <v>0.5868078210633475</v>
      </c>
      <c r="C38" t="n">
        <v>0.4606153449120739</v>
      </c>
      <c r="D38" t="n">
        <v>0</v>
      </c>
      <c r="E38">
        <f>1/(1+EXP(-(A38*$H$2 + B38*$H$3 + C38*$H$4 + $H$6)))</f>
        <v/>
      </c>
      <c r="F38">
        <f>1/(1+EXP(-(A38*$I$2 + B38*$I$3 + C38*$I$4 + $I$6)))</f>
        <v/>
      </c>
      <c r="G38">
        <f>1/(1+EXP(-(E38*$K$2 + F38*$K$3 + $K$6)))</f>
        <v/>
      </c>
      <c r="H38">
        <f>(G38-D38)^2</f>
        <v/>
      </c>
    </row>
    <row r="39">
      <c r="A39" t="n">
        <v>0.4375653180857382</v>
      </c>
      <c r="B39" t="n">
        <v>0.003487329057094373</v>
      </c>
      <c r="C39" t="n">
        <v>0.3229783789586183</v>
      </c>
      <c r="D39" t="n">
        <v>0</v>
      </c>
      <c r="E39">
        <f>1/(1+EXP(-(A39*$H$2 + B39*$H$3 + C39*$H$4 + $H$6)))</f>
        <v/>
      </c>
      <c r="F39">
        <f>1/(1+EXP(-(A39*$I$2 + B39*$I$3 + C39*$I$4 + $I$6)))</f>
        <v/>
      </c>
      <c r="G39">
        <f>1/(1+EXP(-(E39*$K$2 + F39*$K$3 + $K$6)))</f>
        <v/>
      </c>
      <c r="H39">
        <f>(G39-D39)^2</f>
        <v/>
      </c>
    </row>
    <row r="40">
      <c r="A40" t="n">
        <v>0.3562387004729299</v>
      </c>
      <c r="B40" t="n">
        <v>0.4994406970409894</v>
      </c>
      <c r="C40" t="n">
        <v>0.08400425938892223</v>
      </c>
      <c r="D40" t="n">
        <v>0</v>
      </c>
      <c r="E40">
        <f>1/(1+EXP(-(A40*$H$2 + B40*$H$3 + C40*$H$4 + $H$6)))</f>
        <v/>
      </c>
      <c r="F40">
        <f>1/(1+EXP(-(A40*$I$2 + B40*$I$3 + C40*$I$4 + $I$6)))</f>
        <v/>
      </c>
      <c r="G40">
        <f>1/(1+EXP(-(E40*$K$2 + F40*$K$3 + $K$6)))</f>
        <v/>
      </c>
      <c r="H40">
        <f>(G40-D40)^2</f>
        <v/>
      </c>
    </row>
    <row r="41">
      <c r="A41" t="n">
        <v>1</v>
      </c>
      <c r="B41" t="n">
        <v>0.6612477428612669</v>
      </c>
      <c r="C41" t="n">
        <v>0.4535208000177221</v>
      </c>
      <c r="D41" t="n">
        <v>0</v>
      </c>
      <c r="E41">
        <f>1/(1+EXP(-(A41*$H$2 + B41*$H$3 + C41*$H$4 + $H$6)))</f>
        <v/>
      </c>
      <c r="F41">
        <f>1/(1+EXP(-(A41*$I$2 + B41*$I$3 + C41*$I$4 + $I$6)))</f>
        <v/>
      </c>
      <c r="G41">
        <f>1/(1+EXP(-(E41*$K$2 + F41*$K$3 + $K$6)))</f>
        <v/>
      </c>
      <c r="H41">
        <f>(G41-D41)^2</f>
        <v/>
      </c>
    </row>
    <row r="42">
      <c r="A42" t="n">
        <v>0.5105454590921452</v>
      </c>
      <c r="B42" t="n">
        <v>0.9756638757057805</v>
      </c>
      <c r="C42" t="n">
        <v>0.1954506838540337</v>
      </c>
      <c r="D42" t="n">
        <v>0</v>
      </c>
      <c r="E42">
        <f>1/(1+EXP(-(A42*$H$2 + B42*$H$3 + C42*$H$4 + $H$6)))</f>
        <v/>
      </c>
      <c r="F42">
        <f>1/(1+EXP(-(A42*$I$2 + B42*$I$3 + C42*$I$4 + $I$6)))</f>
        <v/>
      </c>
      <c r="G42">
        <f>1/(1+EXP(-(E42*$K$2 + F42*$K$3 + $K$6)))</f>
        <v/>
      </c>
      <c r="H42">
        <f>(G42-D42)^2</f>
        <v/>
      </c>
    </row>
    <row r="43">
      <c r="A43" t="n">
        <v>0.2366137003849162</v>
      </c>
      <c r="B43" t="n">
        <v>0.4156740265775574</v>
      </c>
      <c r="C43" t="n">
        <v>0.5459507917890957</v>
      </c>
      <c r="D43" t="n">
        <v>0</v>
      </c>
      <c r="E43">
        <f>1/(1+EXP(-(A43*$H$2 + B43*$H$3 + C43*$H$4 + $H$6)))</f>
        <v/>
      </c>
      <c r="F43">
        <f>1/(1+EXP(-(A43*$I$2 + B43*$I$3 + C43*$I$4 + $I$6)))</f>
        <v/>
      </c>
      <c r="G43">
        <f>1/(1+EXP(-(E43*$K$2 + F43*$K$3 + $K$6)))</f>
        <v/>
      </c>
      <c r="H43">
        <f>(G43-D43)^2</f>
        <v/>
      </c>
    </row>
    <row r="44">
      <c r="A44" t="n">
        <v>0.7298669370359299</v>
      </c>
      <c r="B44" t="n">
        <v>0.3342568043690541</v>
      </c>
      <c r="C44" t="n">
        <v>0.2280565818293704</v>
      </c>
      <c r="D44" t="n">
        <v>0</v>
      </c>
      <c r="E44">
        <f>1/(1+EXP(-(A44*$H$2 + B44*$H$3 + C44*$H$4 + $H$6)))</f>
        <v/>
      </c>
      <c r="F44">
        <f>1/(1+EXP(-(A44*$I$2 + B44*$I$3 + C44*$I$4 + $I$6)))</f>
        <v/>
      </c>
      <c r="G44">
        <f>1/(1+EXP(-(E44*$K$2 + F44*$K$3 + $K$6)))</f>
        <v/>
      </c>
      <c r="H44">
        <f>(G44-D44)^2</f>
        <v/>
      </c>
    </row>
    <row r="46">
      <c r="G46" s="2" t="inlineStr">
        <is>
          <t>Error Total Train:</t>
        </is>
      </c>
      <c r="H46" s="4">
        <f>SUM(H10:H44)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1" t="n"/>
      <c r="B1" s="1" t="n"/>
      <c r="C1" s="1" t="n"/>
      <c r="D1" s="1" t="n"/>
      <c r="E1" s="1" t="n"/>
      <c r="F1" s="1" t="n"/>
      <c r="G1" s="1" t="n"/>
      <c r="H1" s="1" t="inlineStr">
        <is>
          <t>Pesos W1 (H1)</t>
        </is>
      </c>
      <c r="I1" s="1" t="inlineStr">
        <is>
          <t>Pesos W1 (H2)</t>
        </is>
      </c>
      <c r="J1" s="1" t="n"/>
      <c r="K1" s="1" t="inlineStr">
        <is>
          <t>Pesos W2</t>
        </is>
      </c>
    </row>
    <row r="2">
      <c r="H2">
        <f>'3_Train_NN'!H2</f>
        <v/>
      </c>
      <c r="I2">
        <f>'3_Train_NN'!I2</f>
        <v/>
      </c>
      <c r="K2">
        <f>'3_Train_NN'!K2</f>
        <v/>
      </c>
    </row>
    <row r="3">
      <c r="H3">
        <f>'3_Train_NN'!H3</f>
        <v/>
      </c>
      <c r="I3">
        <f>'3_Train_NN'!I3</f>
        <v/>
      </c>
      <c r="K3">
        <f>'3_Train_NN'!K3</f>
        <v/>
      </c>
    </row>
    <row r="4">
      <c r="H4">
        <f>'3_Train_NN'!H4</f>
        <v/>
      </c>
      <c r="I4">
        <f>'3_Train_NN'!I4</f>
        <v/>
      </c>
    </row>
    <row r="5">
      <c r="H5" t="inlineStr">
        <is>
          <t>Sesgos B1 (H1)</t>
        </is>
      </c>
      <c r="I5" t="inlineStr">
        <is>
          <t>Sesgos B1 (H2)</t>
        </is>
      </c>
      <c r="K5" t="inlineStr">
        <is>
          <t>Sesgo B2</t>
        </is>
      </c>
    </row>
    <row r="6">
      <c r="H6">
        <f>'3_Train_NN'!H6</f>
        <v/>
      </c>
      <c r="I6">
        <f>'3_Train_NN'!I6</f>
        <v/>
      </c>
      <c r="K6">
        <f>'3_Train_NN'!K6</f>
        <v/>
      </c>
    </row>
    <row r="9">
      <c r="A9" s="3" t="inlineStr">
        <is>
          <t>Edad_S</t>
        </is>
      </c>
      <c r="B9" s="3" t="inlineStr">
        <is>
          <t>Ingreso_S</t>
        </is>
      </c>
      <c r="C9" s="3" t="inlineStr">
        <is>
          <t>Deuda_S</t>
        </is>
      </c>
      <c r="D9" s="3" t="inlineStr">
        <is>
          <t>Y_Real</t>
        </is>
      </c>
      <c r="E9" s="3" t="inlineStr">
        <is>
          <t>Neurona_H1</t>
        </is>
      </c>
      <c r="F9" s="3" t="inlineStr">
        <is>
          <t>Neurona_H2</t>
        </is>
      </c>
      <c r="G9" s="3" t="inlineStr">
        <is>
          <t>Pred_Final</t>
        </is>
      </c>
      <c r="H9" s="3" t="inlineStr">
        <is>
          <t>Error_Sq</t>
        </is>
      </c>
    </row>
    <row r="10">
      <c r="A10" t="n">
        <v>0.1938185972466795</v>
      </c>
      <c r="B10" t="n">
        <v>0.4203065161848082</v>
      </c>
      <c r="C10" t="n">
        <v>0.7915780626049485</v>
      </c>
      <c r="D10" t="n">
        <v>0</v>
      </c>
      <c r="E10">
        <f>1/(1+EXP(-(A10*$H$2 + B10*$H$3 + C10*$H$4 + $H$6)))</f>
        <v/>
      </c>
      <c r="F10">
        <f>1/(1+EXP(-(A10*$I$2 + B10*$I$3 + C10*$I$4 + $I$6)))</f>
        <v/>
      </c>
      <c r="G10">
        <f>1/(1+EXP(-(E10*$K$2 + F10*$K$3 + $K$6)))</f>
        <v/>
      </c>
      <c r="H10">
        <f>(G10-D10)^2</f>
        <v/>
      </c>
    </row>
    <row r="11">
      <c r="A11" t="n">
        <v>0.568878049608484</v>
      </c>
      <c r="B11" t="n">
        <v>0.8178663561354846</v>
      </c>
      <c r="C11" t="n">
        <v>0.2591315539281929</v>
      </c>
      <c r="D11" t="n">
        <v>0</v>
      </c>
      <c r="E11">
        <f>1/(1+EXP(-(A11*$H$2 + B11*$H$3 + C11*$H$4 + $H$6)))</f>
        <v/>
      </c>
      <c r="F11">
        <f>1/(1+EXP(-(A11*$I$2 + B11*$I$3 + C11*$I$4 + $I$6)))</f>
        <v/>
      </c>
      <c r="G11">
        <f>1/(1+EXP(-(E11*$K$2 + F11*$K$3 + $K$6)))</f>
        <v/>
      </c>
      <c r="H11">
        <f>(G11-D11)^2</f>
        <v/>
      </c>
    </row>
    <row r="12">
      <c r="A12" t="n">
        <v>0</v>
      </c>
      <c r="B12" t="n">
        <v>0.6532914183052895</v>
      </c>
      <c r="C12" t="n">
        <v>0.3643781019490209</v>
      </c>
      <c r="D12" t="n">
        <v>0</v>
      </c>
      <c r="E12">
        <f>1/(1+EXP(-(A12*$H$2 + B12*$H$3 + C12*$H$4 + $H$6)))</f>
        <v/>
      </c>
      <c r="F12">
        <f>1/(1+EXP(-(A12*$I$2 + B12*$I$3 + C12*$I$4 + $I$6)))</f>
        <v/>
      </c>
      <c r="G12">
        <f>1/(1+EXP(-(E12*$K$2 + F12*$K$3 + $K$6)))</f>
        <v/>
      </c>
      <c r="H12">
        <f>(G12-D12)^2</f>
        <v/>
      </c>
    </row>
    <row r="13">
      <c r="A13" t="n">
        <v>0.1656591390790053</v>
      </c>
      <c r="B13" t="n">
        <v>0.4124507070531357</v>
      </c>
      <c r="C13" t="n">
        <v>0.6235235331998032</v>
      </c>
      <c r="D13" t="n">
        <v>0</v>
      </c>
      <c r="E13">
        <f>1/(1+EXP(-(A13*$H$2 + B13*$H$3 + C13*$H$4 + $H$6)))</f>
        <v/>
      </c>
      <c r="F13">
        <f>1/(1+EXP(-(A13*$I$2 + B13*$I$3 + C13*$I$4 + $I$6)))</f>
        <v/>
      </c>
      <c r="G13">
        <f>1/(1+EXP(-(E13*$K$2 + F13*$K$3 + $K$6)))</f>
        <v/>
      </c>
      <c r="H13">
        <f>(G13-D13)^2</f>
        <v/>
      </c>
    </row>
    <row r="14">
      <c r="A14" t="n">
        <v>0.5657294342116751</v>
      </c>
      <c r="B14" t="n">
        <v>0.7050543268228693</v>
      </c>
      <c r="C14" t="n">
        <v>0.1569842096333632</v>
      </c>
      <c r="D14" t="n">
        <v>0</v>
      </c>
      <c r="E14">
        <f>1/(1+EXP(-(A14*$H$2 + B14*$H$3 + C14*$H$4 + $H$6)))</f>
        <v/>
      </c>
      <c r="F14">
        <f>1/(1+EXP(-(A14*$I$2 + B14*$I$3 + C14*$I$4 + $I$6)))</f>
        <v/>
      </c>
      <c r="G14">
        <f>1/(1+EXP(-(E14*$K$2 + F14*$K$3 + $K$6)))</f>
        <v/>
      </c>
      <c r="H14">
        <f>(G14-D14)^2</f>
        <v/>
      </c>
    </row>
    <row r="15">
      <c r="A15" t="n">
        <v>0.7078104123126664</v>
      </c>
      <c r="B15" t="n">
        <v>0.5882993510242361</v>
      </c>
      <c r="C15" t="n">
        <v>0.4897819767673704</v>
      </c>
      <c r="D15" t="n">
        <v>0</v>
      </c>
      <c r="E15">
        <f>1/(1+EXP(-(A15*$H$2 + B15*$H$3 + C15*$H$4 + $H$6)))</f>
        <v/>
      </c>
      <c r="F15">
        <f>1/(1+EXP(-(A15*$I$2 + B15*$I$3 + C15*$I$4 + $I$6)))</f>
        <v/>
      </c>
      <c r="G15">
        <f>1/(1+EXP(-(E15*$K$2 + F15*$K$3 + $K$6)))</f>
        <v/>
      </c>
      <c r="H15">
        <f>(G15-D15)^2</f>
        <v/>
      </c>
    </row>
    <row r="16">
      <c r="A16" t="n">
        <v>0.5590417898322767</v>
      </c>
      <c r="B16" t="n">
        <v>0.8328027363102533</v>
      </c>
      <c r="C16" t="n">
        <v>0.736171647203224</v>
      </c>
      <c r="D16" t="n">
        <v>0</v>
      </c>
      <c r="E16">
        <f>1/(1+EXP(-(A16*$H$2 + B16*$H$3 + C16*$H$4 + $H$6)))</f>
        <v/>
      </c>
      <c r="F16">
        <f>1/(1+EXP(-(A16*$I$2 + B16*$I$3 + C16*$I$4 + $I$6)))</f>
        <v/>
      </c>
      <c r="G16">
        <f>1/(1+EXP(-(E16*$K$2 + F16*$K$3 + $K$6)))</f>
        <v/>
      </c>
      <c r="H16">
        <f>(G16-D16)^2</f>
        <v/>
      </c>
    </row>
    <row r="17">
      <c r="A17" t="n">
        <v>0.4837478612796278</v>
      </c>
      <c r="B17" t="n">
        <v>0.3641168743489044</v>
      </c>
      <c r="C17" t="n">
        <v>0.0710376617898627</v>
      </c>
      <c r="D17" t="n">
        <v>0</v>
      </c>
      <c r="E17">
        <f>1/(1+EXP(-(A17*$H$2 + B17*$H$3 + C17*$H$4 + $H$6)))</f>
        <v/>
      </c>
      <c r="F17">
        <f>1/(1+EXP(-(A17*$I$2 + B17*$I$3 + C17*$I$4 + $I$6)))</f>
        <v/>
      </c>
      <c r="G17">
        <f>1/(1+EXP(-(E17*$K$2 + F17*$K$3 + $K$6)))</f>
        <v/>
      </c>
      <c r="H17">
        <f>(G17-D17)^2</f>
        <v/>
      </c>
    </row>
    <row r="18">
      <c r="A18" t="n">
        <v>0.4350967783693668</v>
      </c>
      <c r="B18" t="n">
        <v>0.4691458711937768</v>
      </c>
      <c r="C18" t="n">
        <v>0.480008826192888</v>
      </c>
      <c r="D18" t="n">
        <v>0</v>
      </c>
      <c r="E18">
        <f>1/(1+EXP(-(A18*$H$2 + B18*$H$3 + C18*$H$4 + $H$6)))</f>
        <v/>
      </c>
      <c r="F18">
        <f>1/(1+EXP(-(A18*$I$2 + B18*$I$3 + C18*$I$4 + $I$6)))</f>
        <v/>
      </c>
      <c r="G18">
        <f>1/(1+EXP(-(E18*$K$2 + F18*$K$3 + $K$6)))</f>
        <v/>
      </c>
      <c r="H18">
        <f>(G18-D18)^2</f>
        <v/>
      </c>
    </row>
    <row r="19">
      <c r="A19" t="n">
        <v>0.1262210540613879</v>
      </c>
      <c r="B19" t="n">
        <v>0.4510666428733593</v>
      </c>
      <c r="C19" t="n">
        <v>0.4971810550491993</v>
      </c>
      <c r="D19" t="n">
        <v>0</v>
      </c>
      <c r="E19">
        <f>1/(1+EXP(-(A19*$H$2 + B19*$H$3 + C19*$H$4 + $H$6)))</f>
        <v/>
      </c>
      <c r="F19">
        <f>1/(1+EXP(-(A19*$I$2 + B19*$I$3 + C19*$I$4 + $I$6)))</f>
        <v/>
      </c>
      <c r="G19">
        <f>1/(1+EXP(-(E19*$K$2 + F19*$K$3 + $K$6)))</f>
        <v/>
      </c>
      <c r="H19">
        <f>(G19-D19)^2</f>
        <v/>
      </c>
    </row>
    <row r="20">
      <c r="A20" t="n">
        <v>0.3252473053626306</v>
      </c>
      <c r="B20" t="n">
        <v>0.1505017341615237</v>
      </c>
      <c r="C20" t="n">
        <v>0.6162907059075173</v>
      </c>
      <c r="D20" t="n">
        <v>1</v>
      </c>
      <c r="E20">
        <f>1/(1+EXP(-(A20*$H$2 + B20*$H$3 + C20*$H$4 + $H$6)))</f>
        <v/>
      </c>
      <c r="F20">
        <f>1/(1+EXP(-(A20*$I$2 + B20*$I$3 + C20*$I$4 + $I$6)))</f>
        <v/>
      </c>
      <c r="G20">
        <f>1/(1+EXP(-(E20*$K$2 + F20*$K$3 + $K$6)))</f>
        <v/>
      </c>
      <c r="H20">
        <f>(G20-D20)^2</f>
        <v/>
      </c>
    </row>
    <row r="21">
      <c r="A21" t="n">
        <v>0.3932454565611933</v>
      </c>
      <c r="B21" t="n">
        <v>0.6441373945806776</v>
      </c>
      <c r="C21" t="n">
        <v>0.1555952603105632</v>
      </c>
      <c r="D21" t="n">
        <v>0</v>
      </c>
      <c r="E21">
        <f>1/(1+EXP(-(A21*$H$2 + B21*$H$3 + C21*$H$4 + $H$6)))</f>
        <v/>
      </c>
      <c r="F21">
        <f>1/(1+EXP(-(A21*$I$2 + B21*$I$3 + C21*$I$4 + $I$6)))</f>
        <v/>
      </c>
      <c r="G21">
        <f>1/(1+EXP(-(E21*$K$2 + F21*$K$3 + $K$6)))</f>
        <v/>
      </c>
      <c r="H21">
        <f>(G21-D21)^2</f>
        <v/>
      </c>
    </row>
    <row r="22">
      <c r="A22" t="n">
        <v>0.7914043176975477</v>
      </c>
      <c r="B22" t="n">
        <v>0.6343005053231793</v>
      </c>
      <c r="C22" t="n">
        <v>0.1365387454257905</v>
      </c>
      <c r="D22" t="n">
        <v>0</v>
      </c>
      <c r="E22">
        <f>1/(1+EXP(-(A22*$H$2 + B22*$H$3 + C22*$H$4 + $H$6)))</f>
        <v/>
      </c>
      <c r="F22">
        <f>1/(1+EXP(-(A22*$I$2 + B22*$I$3 + C22*$I$4 + $I$6)))</f>
        <v/>
      </c>
      <c r="G22">
        <f>1/(1+EXP(-(E22*$K$2 + F22*$K$3 + $K$6)))</f>
        <v/>
      </c>
      <c r="H22">
        <f>(G22-D22)^2</f>
        <v/>
      </c>
    </row>
    <row r="23">
      <c r="A23" t="n">
        <v>0.6042286587096515</v>
      </c>
      <c r="B23" t="n">
        <v>0.5625003928154445</v>
      </c>
      <c r="C23" t="n">
        <v>0.556984335360302</v>
      </c>
      <c r="D23" t="n">
        <v>0</v>
      </c>
      <c r="E23">
        <f>1/(1+EXP(-(A23*$H$2 + B23*$H$3 + C23*$H$4 + $H$6)))</f>
        <v/>
      </c>
      <c r="F23">
        <f>1/(1+EXP(-(A23*$I$2 + B23*$I$3 + C23*$I$4 + $I$6)))</f>
        <v/>
      </c>
      <c r="G23">
        <f>1/(1+EXP(-(E23*$K$2 + F23*$K$3 + $K$6)))</f>
        <v/>
      </c>
      <c r="H23">
        <f>(G23-D23)^2</f>
        <v/>
      </c>
    </row>
    <row r="24">
      <c r="A24" t="n">
        <v>0.05158253801194797</v>
      </c>
      <c r="B24" t="n">
        <v>0.4952564792122851</v>
      </c>
      <c r="C24" t="n">
        <v>0.5056479117676663</v>
      </c>
      <c r="D24" t="n">
        <v>0</v>
      </c>
      <c r="E24">
        <f>1/(1+EXP(-(A24*$H$2 + B24*$H$3 + C24*$H$4 + $H$6)))</f>
        <v/>
      </c>
      <c r="F24">
        <f>1/(1+EXP(-(A24*$I$2 + B24*$I$3 + C24*$I$4 + $I$6)))</f>
        <v/>
      </c>
      <c r="G24">
        <f>1/(1+EXP(-(E24*$K$2 + F24*$K$3 + $K$6)))</f>
        <v/>
      </c>
      <c r="H24">
        <f>(G24-D24)^2</f>
        <v/>
      </c>
    </row>
    <row r="26">
      <c r="G26" s="2" t="inlineStr">
        <is>
          <t>Error Total Test:</t>
        </is>
      </c>
      <c r="H26" s="4">
        <f>SUM(H10:H24)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I18"/>
  <sheetViews>
    <sheetView workbookViewId="0">
      <selection activeCell="A1" sqref="A1"/>
    </sheetView>
  </sheetViews>
  <sheetFormatPr baseColWidth="8" defaultRowHeight="15"/>
  <cols>
    <col width="30" customWidth="1" min="2" max="2"/>
    <col width="20" customWidth="1" min="3" max="3"/>
    <col width="20" customWidth="1" min="4" max="4"/>
    <col width="12" customWidth="1" min="6" max="6"/>
    <col width="15" customWidth="1" min="7" max="7"/>
    <col width="15" customWidth="1" min="8" max="8"/>
    <col width="15" customWidth="1" min="9" max="9"/>
  </cols>
  <sheetData>
    <row r="2">
      <c r="B2" s="2" t="inlineStr">
        <is>
          <t>Umbral de Decisión (Threshold):</t>
        </is>
      </c>
      <c r="C2" s="5" t="n">
        <v>0.5</v>
      </c>
    </row>
    <row r="4">
      <c r="B4" s="1" t="inlineStr">
        <is>
          <t>MATRIZ DE CONFUSIÓN (TEST SET)</t>
        </is>
      </c>
      <c r="F4" s="1" t="inlineStr">
        <is>
          <t>CÁLCULO DINÁMICO DE AUC-ROC (CURVA ROC)</t>
        </is>
      </c>
    </row>
    <row r="5">
      <c r="B5" s="6" t="inlineStr">
        <is>
          <t>Real \ Predicción</t>
        </is>
      </c>
      <c r="C5" s="6" t="inlineStr">
        <is>
          <t>Positivo (Default=1)</t>
        </is>
      </c>
      <c r="D5" s="6" t="inlineStr">
        <is>
          <t>Negativo (Pago=0)</t>
        </is>
      </c>
      <c r="F5" s="6" t="inlineStr">
        <is>
          <t>Umbral</t>
        </is>
      </c>
      <c r="G5" s="6" t="inlineStr">
        <is>
          <t>TPR (Recall)</t>
        </is>
      </c>
      <c r="H5" s="6" t="inlineStr">
        <is>
          <t>FPR (1-Especif)</t>
        </is>
      </c>
      <c r="I5" s="6" t="inlineStr">
        <is>
          <t>Área Trapecio</t>
        </is>
      </c>
    </row>
    <row r="6">
      <c r="B6" s="2" t="inlineStr">
        <is>
          <t>Positivo (Default=1)</t>
        </is>
      </c>
      <c r="C6">
        <f>COUNTIFS('4_Test_NN'!$D$10:24, 1, '4_Test_NN'!$G$10:24, "&gt;="&amp;$C$2)</f>
        <v/>
      </c>
      <c r="D6">
        <f>COUNTIFS('4_Test_NN'!$D$10:24, 1, '4_Test_NN'!$G$10:24, "&lt;"&amp;$C$2)</f>
        <v/>
      </c>
      <c r="F6" t="n">
        <v>0</v>
      </c>
      <c r="G6" s="7">
        <f>IF(COUNTIF('4_Test_NN'!$D$10:24, 1)=0, 0, COUNTIFS('4_Test_NN'!$D$10:24, 1, '4_Test_NN'!$G$10:24, "&gt;="&amp;F6) / COUNTIF('4_Test_NN'!$D$10:24, 1))</f>
        <v/>
      </c>
      <c r="H6" s="7">
        <f>IF(COUNTIF('4_Test_NN'!$D$10:24, 0)=0, 0, COUNTIFS('4_Test_NN'!$D$10:24, 0, '4_Test_NN'!$G$10:24, "&gt;="&amp;F6) / COUNTIF('4_Test_NN'!$D$10:24, 0))</f>
        <v/>
      </c>
      <c r="I6" s="8" t="n">
        <v>0</v>
      </c>
    </row>
    <row r="7">
      <c r="B7" s="2" t="inlineStr">
        <is>
          <t>Negativo (Pago=0)</t>
        </is>
      </c>
      <c r="C7">
        <f>COUNTIFS('4_Test_NN'!$D$10:24, 0, '4_Test_NN'!$G$10:24, "&gt;="&amp;$C$2)</f>
        <v/>
      </c>
      <c r="D7">
        <f>COUNTIFS('4_Test_NN'!$D$10:24, 0, '4_Test_NN'!$G$10:24, "&lt;"&amp;$C$2)</f>
        <v/>
      </c>
      <c r="F7" t="n">
        <v>0.1</v>
      </c>
      <c r="G7" s="7">
        <f>IF(COUNTIF('4_Test_NN'!$D$10:24, 1)=0, 0, COUNTIFS('4_Test_NN'!$D$10:24, 1, '4_Test_NN'!$G$10:24, "&gt;="&amp;F7) / COUNTIF('4_Test_NN'!$D$10:24, 1))</f>
        <v/>
      </c>
      <c r="H7" s="7">
        <f>IF(COUNTIF('4_Test_NN'!$D$10:24, 0)=0, 0, COUNTIFS('4_Test_NN'!$D$10:24, 0, '4_Test_NN'!$G$10:24, "&gt;="&amp;F7) / COUNTIF('4_Test_NN'!$D$10:24, 0))</f>
        <v/>
      </c>
      <c r="I7" s="8">
        <f>(H6-H7) * (G6+G7) / 2</f>
        <v/>
      </c>
    </row>
    <row r="8">
      <c r="F8" t="n">
        <v>0.2</v>
      </c>
      <c r="G8" s="7">
        <f>IF(COUNTIF('4_Test_NN'!$D$10:24, 1)=0, 0, COUNTIFS('4_Test_NN'!$D$10:24, 1, '4_Test_NN'!$G$10:24, "&gt;="&amp;F8) / COUNTIF('4_Test_NN'!$D$10:24, 1))</f>
        <v/>
      </c>
      <c r="H8" s="7">
        <f>IF(COUNTIF('4_Test_NN'!$D$10:24, 0)=0, 0, COUNTIFS('4_Test_NN'!$D$10:24, 0, '4_Test_NN'!$G$10:24, "&gt;="&amp;F8) / COUNTIF('4_Test_NN'!$D$10:24, 0))</f>
        <v/>
      </c>
      <c r="I8" s="8">
        <f>(H7-H8) * (G7+G8) / 2</f>
        <v/>
      </c>
    </row>
    <row r="9">
      <c r="B9" s="1" t="inlineStr">
        <is>
          <t>MÉTRICAS PRINCIPALES</t>
        </is>
      </c>
      <c r="F9" t="n">
        <v>0.3</v>
      </c>
      <c r="G9" s="7">
        <f>IF(COUNTIF('4_Test_NN'!$D$10:24, 1)=0, 0, COUNTIFS('4_Test_NN'!$D$10:24, 1, '4_Test_NN'!$G$10:24, "&gt;="&amp;F9) / COUNTIF('4_Test_NN'!$D$10:24, 1))</f>
        <v/>
      </c>
      <c r="H9" s="7">
        <f>IF(COUNTIF('4_Test_NN'!$D$10:24, 0)=0, 0, COUNTIFS('4_Test_NN'!$D$10:24, 0, '4_Test_NN'!$G$10:24, "&gt;="&amp;F9) / COUNTIF('4_Test_NN'!$D$10:24, 0))</f>
        <v/>
      </c>
      <c r="I9" s="8">
        <f>(H8-H9) * (G8+G9) / 2</f>
        <v/>
      </c>
    </row>
    <row r="10">
      <c r="B10" s="2" t="inlineStr">
        <is>
          <t>Precision (Valor Predictivo Positivo)</t>
        </is>
      </c>
      <c r="C10" s="9">
        <f>IF((C6+C7)=0, 0, C6/(C6+C7))</f>
        <v/>
      </c>
      <c r="F10" t="n">
        <v>0.4</v>
      </c>
      <c r="G10" s="7">
        <f>IF(COUNTIF('4_Test_NN'!$D$10:24, 1)=0, 0, COUNTIFS('4_Test_NN'!$D$10:24, 1, '4_Test_NN'!$G$10:24, "&gt;="&amp;F10) / COUNTIF('4_Test_NN'!$D$10:24, 1))</f>
        <v/>
      </c>
      <c r="H10" s="7">
        <f>IF(COUNTIF('4_Test_NN'!$D$10:24, 0)=0, 0, COUNTIFS('4_Test_NN'!$D$10:24, 0, '4_Test_NN'!$G$10:24, "&gt;="&amp;F10) / COUNTIF('4_Test_NN'!$D$10:24, 0))</f>
        <v/>
      </c>
      <c r="I10" s="8">
        <f>(H9-H10) * (G9+G10) / 2</f>
        <v/>
      </c>
    </row>
    <row r="11">
      <c r="B11" s="2" t="inlineStr">
        <is>
          <t>Recall (Sensibilidad / TPR)</t>
        </is>
      </c>
      <c r="C11" s="9">
        <f>IF((C6+D6)=0, 0, C6/(C6+D6))</f>
        <v/>
      </c>
      <c r="F11" t="n">
        <v>0.5</v>
      </c>
      <c r="G11" s="7">
        <f>IF(COUNTIF('4_Test_NN'!$D$10:24, 1)=0, 0, COUNTIFS('4_Test_NN'!$D$10:24, 1, '4_Test_NN'!$G$10:24, "&gt;="&amp;F11) / COUNTIF('4_Test_NN'!$D$10:24, 1))</f>
        <v/>
      </c>
      <c r="H11" s="7">
        <f>IF(COUNTIF('4_Test_NN'!$D$10:24, 0)=0, 0, COUNTIFS('4_Test_NN'!$D$10:24, 0, '4_Test_NN'!$G$10:24, "&gt;="&amp;F11) / COUNTIF('4_Test_NN'!$D$10:24, 0))</f>
        <v/>
      </c>
      <c r="I11" s="8">
        <f>(H10-H11) * (G10+G11) / 2</f>
        <v/>
      </c>
    </row>
    <row r="12">
      <c r="B12" s="2" t="inlineStr">
        <is>
          <t>Especificidad (TNR)</t>
        </is>
      </c>
      <c r="C12" s="9">
        <f>IF((C7+D7)=0, 0, D7/(C7+D7))</f>
        <v/>
      </c>
      <c r="F12" t="n">
        <v>0.6</v>
      </c>
      <c r="G12" s="7">
        <f>IF(COUNTIF('4_Test_NN'!$D$10:24, 1)=0, 0, COUNTIFS('4_Test_NN'!$D$10:24, 1, '4_Test_NN'!$G$10:24, "&gt;="&amp;F12) / COUNTIF('4_Test_NN'!$D$10:24, 1))</f>
        <v/>
      </c>
      <c r="H12" s="7">
        <f>IF(COUNTIF('4_Test_NN'!$D$10:24, 0)=0, 0, COUNTIFS('4_Test_NN'!$D$10:24, 0, '4_Test_NN'!$G$10:24, "&gt;="&amp;F12) / COUNTIF('4_Test_NN'!$D$10:24, 0))</f>
        <v/>
      </c>
      <c r="I12" s="8">
        <f>(H11-H12) * (G11+G12) / 2</f>
        <v/>
      </c>
    </row>
    <row r="13">
      <c r="B13" s="2" t="inlineStr">
        <is>
          <t>F1-Score (Media armónica)</t>
        </is>
      </c>
      <c r="C13" s="9">
        <f>IF((C10+C11)=0, 0, 2*(C10*C11)/(C10+C11))</f>
        <v/>
      </c>
      <c r="F13" t="n">
        <v>0.7</v>
      </c>
      <c r="G13" s="7">
        <f>IF(COUNTIF('4_Test_NN'!$D$10:24, 1)=0, 0, COUNTIFS('4_Test_NN'!$D$10:24, 1, '4_Test_NN'!$G$10:24, "&gt;="&amp;F13) / COUNTIF('4_Test_NN'!$D$10:24, 1))</f>
        <v/>
      </c>
      <c r="H13" s="7">
        <f>IF(COUNTIF('4_Test_NN'!$D$10:24, 0)=0, 0, COUNTIFS('4_Test_NN'!$D$10:24, 0, '4_Test_NN'!$G$10:24, "&gt;="&amp;F13) / COUNTIF('4_Test_NN'!$D$10:24, 0))</f>
        <v/>
      </c>
      <c r="I13" s="8">
        <f>(H12-H13) * (G12+G13) / 2</f>
        <v/>
      </c>
    </row>
    <row r="14">
      <c r="B14" s="2" t="inlineStr">
        <is>
          <t>Exactitud (Accuracy)</t>
        </is>
      </c>
      <c r="C14" s="9">
        <f>(C6+D7)/(C6+D6+C7+D7)</f>
        <v/>
      </c>
      <c r="F14" t="n">
        <v>0.8</v>
      </c>
      <c r="G14" s="7">
        <f>IF(COUNTIF('4_Test_NN'!$D$10:24, 1)=0, 0, COUNTIFS('4_Test_NN'!$D$10:24, 1, '4_Test_NN'!$G$10:24, "&gt;="&amp;F14) / COUNTIF('4_Test_NN'!$D$10:24, 1))</f>
        <v/>
      </c>
      <c r="H14" s="7">
        <f>IF(COUNTIF('4_Test_NN'!$D$10:24, 0)=0, 0, COUNTIFS('4_Test_NN'!$D$10:24, 0, '4_Test_NN'!$G$10:24, "&gt;="&amp;F14) / COUNTIF('4_Test_NN'!$D$10:24, 0))</f>
        <v/>
      </c>
      <c r="I14" s="8">
        <f>(H13-H14) * (G13+G14) / 2</f>
        <v/>
      </c>
    </row>
    <row r="15">
      <c r="F15" t="n">
        <v>0.9</v>
      </c>
      <c r="G15" s="7">
        <f>IF(COUNTIF('4_Test_NN'!$D$10:24, 1)=0, 0, COUNTIFS('4_Test_NN'!$D$10:24, 1, '4_Test_NN'!$G$10:24, "&gt;="&amp;F15) / COUNTIF('4_Test_NN'!$D$10:24, 1))</f>
        <v/>
      </c>
      <c r="H15" s="7">
        <f>IF(COUNTIF('4_Test_NN'!$D$10:24, 0)=0, 0, COUNTIFS('4_Test_NN'!$D$10:24, 0, '4_Test_NN'!$G$10:24, "&gt;="&amp;F15) / COUNTIF('4_Test_NN'!$D$10:24, 0))</f>
        <v/>
      </c>
      <c r="I15" s="8">
        <f>(H14-H15) * (G14+G15) / 2</f>
        <v/>
      </c>
    </row>
    <row r="16">
      <c r="F16" t="n">
        <v>1</v>
      </c>
      <c r="G16" s="7">
        <f>IF(COUNTIF('4_Test_NN'!$D$10:24, 1)=0, 0, COUNTIFS('4_Test_NN'!$D$10:24, 1, '4_Test_NN'!$G$10:24, "&gt;="&amp;F16) / COUNTIF('4_Test_NN'!$D$10:24, 1))</f>
        <v/>
      </c>
      <c r="H16" s="7">
        <f>IF(COUNTIF('4_Test_NN'!$D$10:24, 0)=0, 0, COUNTIFS('4_Test_NN'!$D$10:24, 0, '4_Test_NN'!$G$10:24, "&gt;="&amp;F16) / COUNTIF('4_Test_NN'!$D$10:24, 0))</f>
        <v/>
      </c>
      <c r="I16" s="8">
        <f>(H15-H16) * (G15+G16) / 2</f>
        <v/>
      </c>
    </row>
    <row r="18">
      <c r="H18" s="2" t="inlineStr">
        <is>
          <t>AUC Score Estimado:</t>
        </is>
      </c>
      <c r="I18" s="10">
        <f>SUM(I7:I16)</f>
        <v/>
      </c>
    </row>
  </sheetData>
  <mergeCells count="3">
    <mergeCell ref="B9:C9"/>
    <mergeCell ref="F4:I4"/>
    <mergeCell ref="B4:D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2026-08-13T02:17:05Z</dcterms:created>
  <dcterms:modified xmlns:dcterms="http://purl.org/dc/terms/" xmlns:xsi="http://www.w3.org/2001/XMLSchema-instance" xsi:type="dcterms:W3CDTF">2026-08-13T02:39:08Z</dcterms:modified>
</cp:coreProperties>
</file>