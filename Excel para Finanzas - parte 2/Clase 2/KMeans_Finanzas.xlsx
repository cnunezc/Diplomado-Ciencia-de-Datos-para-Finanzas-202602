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uta\OneDrive\Escritorio\Documents\FEN - Diplomado Finanzas para Ciencia de Datos\Diplomado Ciencia de Datos para Finanzas 202602\Excel para Finanzas - parte 2\Clase 2\"/>
    </mc:Choice>
  </mc:AlternateContent>
  <xr:revisionPtr revIDLastSave="0" documentId="13_ncr:1_{CC4894E4-53B1-4B96-9CC7-5CF2F872FF87}" xr6:coauthVersionLast="47" xr6:coauthVersionMax="47" xr10:uidLastSave="{00000000-0000-0000-0000-000000000000}"/>
  <bookViews>
    <workbookView xWindow="-96" yWindow="-96" windowWidth="23232" windowHeight="12432" firstSheet="1" activeTab="4" xr2:uid="{00000000-000D-0000-FFFF-FFFF00000000}"/>
  </bookViews>
  <sheets>
    <sheet name="1_Datos_Originales" sheetId="1" r:id="rId1"/>
    <sheet name="2_Datos_Escalados" sheetId="2" r:id="rId2"/>
    <sheet name="3_KMeans_Iteracion_1" sheetId="3" r:id="rId3"/>
    <sheet name="4_KMeans_Iteracion_2" sheetId="4" r:id="rId4"/>
    <sheet name="5_Metricas_Codo_y_Silu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D2" i="3"/>
  <c r="F5" i="5"/>
  <c r="C7" i="5"/>
  <c r="C6" i="5"/>
  <c r="C5" i="5"/>
  <c r="C4" i="5"/>
  <c r="F46" i="3"/>
  <c r="E46" i="3"/>
  <c r="D46" i="3"/>
  <c r="G46" i="3" s="1"/>
  <c r="H46" i="3" s="1"/>
  <c r="F45" i="3"/>
  <c r="E45" i="3"/>
  <c r="D45" i="3"/>
  <c r="F44" i="3"/>
  <c r="E44" i="3"/>
  <c r="D44" i="3"/>
  <c r="F43" i="3"/>
  <c r="E43" i="3"/>
  <c r="D43" i="3"/>
  <c r="F42" i="3"/>
  <c r="E42" i="3"/>
  <c r="D42" i="3"/>
  <c r="G42" i="3" s="1"/>
  <c r="H42" i="3" s="1"/>
  <c r="F41" i="3"/>
  <c r="E41" i="3"/>
  <c r="D41" i="3"/>
  <c r="G41" i="3" s="1"/>
  <c r="H41" i="3" s="1"/>
  <c r="F40" i="3"/>
  <c r="E40" i="3"/>
  <c r="D40" i="3"/>
  <c r="F39" i="3"/>
  <c r="E39" i="3"/>
  <c r="D39" i="3"/>
  <c r="F38" i="3"/>
  <c r="E38" i="3"/>
  <c r="D38" i="3"/>
  <c r="F37" i="3"/>
  <c r="E37" i="3"/>
  <c r="D37" i="3"/>
  <c r="G37" i="3" s="1"/>
  <c r="H37" i="3" s="1"/>
  <c r="F36" i="3"/>
  <c r="E36" i="3"/>
  <c r="D36" i="3"/>
  <c r="F35" i="3"/>
  <c r="E35" i="3"/>
  <c r="D35" i="3"/>
  <c r="F34" i="3"/>
  <c r="E34" i="3"/>
  <c r="D34" i="3"/>
  <c r="G34" i="3" s="1"/>
  <c r="H34" i="3" s="1"/>
  <c r="F33" i="3"/>
  <c r="E33" i="3"/>
  <c r="D33" i="3"/>
  <c r="F32" i="3"/>
  <c r="E32" i="3"/>
  <c r="D32" i="3"/>
  <c r="F31" i="3"/>
  <c r="E31" i="3"/>
  <c r="D31" i="3"/>
  <c r="F30" i="3"/>
  <c r="E30" i="3"/>
  <c r="D30" i="3"/>
  <c r="G30" i="3" s="1"/>
  <c r="H30" i="3" s="1"/>
  <c r="F29" i="3"/>
  <c r="E29" i="3"/>
  <c r="D29" i="3"/>
  <c r="G29" i="3" s="1"/>
  <c r="H29" i="3" s="1"/>
  <c r="F28" i="3"/>
  <c r="E28" i="3"/>
  <c r="D28" i="3"/>
  <c r="F27" i="3"/>
  <c r="E27" i="3"/>
  <c r="D27" i="3"/>
  <c r="F26" i="3"/>
  <c r="E26" i="3"/>
  <c r="D26" i="3"/>
  <c r="F25" i="3"/>
  <c r="E25" i="3"/>
  <c r="D25" i="3"/>
  <c r="G25" i="3" s="1"/>
  <c r="H25" i="3" s="1"/>
  <c r="F24" i="3"/>
  <c r="E24" i="3"/>
  <c r="D24" i="3"/>
  <c r="F23" i="3"/>
  <c r="E23" i="3"/>
  <c r="D23" i="3"/>
  <c r="F22" i="3"/>
  <c r="E22" i="3"/>
  <c r="D22" i="3"/>
  <c r="G22" i="3" s="1"/>
  <c r="H22" i="3" s="1"/>
  <c r="F21" i="3"/>
  <c r="E21" i="3"/>
  <c r="D21" i="3"/>
  <c r="F20" i="3"/>
  <c r="E20" i="3"/>
  <c r="D20" i="3"/>
  <c r="F19" i="3"/>
  <c r="E19" i="3"/>
  <c r="D19" i="3"/>
  <c r="F18" i="3"/>
  <c r="E18" i="3"/>
  <c r="D18" i="3"/>
  <c r="G18" i="3" s="1"/>
  <c r="H18" i="3" s="1"/>
  <c r="F17" i="3"/>
  <c r="E17" i="3"/>
  <c r="D17" i="3"/>
  <c r="G17" i="3" s="1"/>
  <c r="H17" i="3" s="1"/>
  <c r="F16" i="3"/>
  <c r="E16" i="3"/>
  <c r="D16" i="3"/>
  <c r="F15" i="3"/>
  <c r="E15" i="3"/>
  <c r="D15" i="3"/>
  <c r="F14" i="3"/>
  <c r="E14" i="3"/>
  <c r="D14" i="3"/>
  <c r="F13" i="3"/>
  <c r="E13" i="3"/>
  <c r="D13" i="3"/>
  <c r="G13" i="3" s="1"/>
  <c r="H13" i="3" s="1"/>
  <c r="F12" i="3"/>
  <c r="E12" i="3"/>
  <c r="D12" i="3"/>
  <c r="F11" i="3"/>
  <c r="E11" i="3"/>
  <c r="D11" i="3"/>
  <c r="F10" i="3"/>
  <c r="E10" i="3"/>
  <c r="D10" i="3"/>
  <c r="G10" i="3" s="1"/>
  <c r="H10" i="3" s="1"/>
  <c r="F9" i="3"/>
  <c r="E9" i="3"/>
  <c r="D9" i="3"/>
  <c r="F8" i="3"/>
  <c r="E8" i="3"/>
  <c r="D8" i="3"/>
  <c r="F7" i="3"/>
  <c r="E7" i="3"/>
  <c r="D7" i="3"/>
  <c r="F6" i="3"/>
  <c r="E6" i="3"/>
  <c r="D6" i="3"/>
  <c r="G6" i="3" s="1"/>
  <c r="H6" i="3" s="1"/>
  <c r="F5" i="3"/>
  <c r="E5" i="3"/>
  <c r="D5" i="3"/>
  <c r="G5" i="3" s="1"/>
  <c r="H5" i="3" s="1"/>
  <c r="F4" i="3"/>
  <c r="E4" i="3"/>
  <c r="D4" i="3"/>
  <c r="F3" i="3"/>
  <c r="E3" i="3"/>
  <c r="D3" i="3"/>
  <c r="F2" i="3"/>
  <c r="E2" i="3"/>
  <c r="G7" i="3" l="1"/>
  <c r="H7" i="3" s="1"/>
  <c r="G11" i="3"/>
  <c r="H11" i="3" s="1"/>
  <c r="G19" i="3"/>
  <c r="H19" i="3" s="1"/>
  <c r="G23" i="3"/>
  <c r="H23" i="3" s="1"/>
  <c r="G31" i="3"/>
  <c r="H31" i="3" s="1"/>
  <c r="G35" i="3"/>
  <c r="H35" i="3" s="1"/>
  <c r="G43" i="3"/>
  <c r="H43" i="3" s="1"/>
  <c r="G4" i="3"/>
  <c r="H4" i="3" s="1"/>
  <c r="G12" i="3"/>
  <c r="H12" i="3" s="1"/>
  <c r="G16" i="3"/>
  <c r="H16" i="3" s="1"/>
  <c r="G24" i="3"/>
  <c r="H24" i="3" s="1"/>
  <c r="G28" i="3"/>
  <c r="H28" i="3" s="1"/>
  <c r="G36" i="3"/>
  <c r="H36" i="3" s="1"/>
  <c r="G40" i="3"/>
  <c r="H40" i="3" s="1"/>
  <c r="G3" i="3"/>
  <c r="H3" i="3" s="1"/>
  <c r="G33" i="3"/>
  <c r="H33" i="3" s="1"/>
  <c r="G44" i="3"/>
  <c r="H44" i="3" s="1"/>
  <c r="G38" i="3"/>
  <c r="H38" i="3" s="1"/>
  <c r="G45" i="3"/>
  <c r="H45" i="3" s="1"/>
  <c r="G26" i="3"/>
  <c r="H26" i="3" s="1"/>
  <c r="G20" i="3"/>
  <c r="H20" i="3" s="1"/>
  <c r="G9" i="3"/>
  <c r="H9" i="3" s="1"/>
  <c r="G32" i="3"/>
  <c r="H32" i="3" s="1"/>
  <c r="G15" i="3"/>
  <c r="H15" i="3" s="1"/>
  <c r="G8" i="3"/>
  <c r="H8" i="3" s="1"/>
  <c r="G2" i="3"/>
  <c r="H2" i="3" s="1"/>
  <c r="G21" i="3"/>
  <c r="H21" i="3" s="1"/>
  <c r="G27" i="3"/>
  <c r="H27" i="3" s="1"/>
  <c r="G39" i="3"/>
  <c r="H39" i="3" s="1"/>
  <c r="G14" i="3"/>
  <c r="H14" i="3" s="1"/>
  <c r="L4" i="4" l="1"/>
  <c r="E29" i="4" s="1"/>
  <c r="K5" i="4"/>
  <c r="K4" i="4"/>
  <c r="L3" i="4"/>
  <c r="D17" i="4" s="1"/>
  <c r="L5" i="4"/>
  <c r="E10" i="4" l="1"/>
  <c r="E18" i="4"/>
  <c r="E30" i="4"/>
  <c r="E23" i="4"/>
  <c r="D22" i="4"/>
  <c r="D20" i="4"/>
  <c r="D11" i="4"/>
  <c r="D38" i="4"/>
  <c r="E26" i="4"/>
  <c r="E46" i="4"/>
  <c r="E37" i="4"/>
  <c r="F11" i="4"/>
  <c r="E41" i="4"/>
  <c r="E15" i="4"/>
  <c r="D23" i="4"/>
  <c r="E27" i="4"/>
  <c r="E16" i="4"/>
  <c r="D40" i="4"/>
  <c r="E7" i="4"/>
  <c r="E39" i="4"/>
  <c r="E28" i="4"/>
  <c r="E19" i="4"/>
  <c r="E32" i="4"/>
  <c r="E40" i="4"/>
  <c r="E35" i="4"/>
  <c r="E5" i="4"/>
  <c r="E31" i="4"/>
  <c r="E44" i="4"/>
  <c r="E9" i="4"/>
  <c r="D14" i="4"/>
  <c r="E43" i="4"/>
  <c r="E2" i="4"/>
  <c r="E21" i="4"/>
  <c r="E12" i="4"/>
  <c r="E13" i="4"/>
  <c r="E33" i="4"/>
  <c r="E17" i="4"/>
  <c r="E25" i="4"/>
  <c r="E38" i="4"/>
  <c r="D36" i="4"/>
  <c r="F29" i="4"/>
  <c r="F32" i="4"/>
  <c r="F28" i="4"/>
  <c r="F14" i="4"/>
  <c r="F41" i="4"/>
  <c r="F44" i="4"/>
  <c r="F40" i="4"/>
  <c r="F26" i="4"/>
  <c r="F10" i="4"/>
  <c r="F13" i="4"/>
  <c r="F3" i="4"/>
  <c r="D32" i="4"/>
  <c r="D3" i="4"/>
  <c r="F38" i="4"/>
  <c r="F22" i="4"/>
  <c r="F25" i="4"/>
  <c r="F9" i="4"/>
  <c r="D44" i="4"/>
  <c r="D5" i="4"/>
  <c r="F5" i="4"/>
  <c r="F34" i="4"/>
  <c r="F37" i="4"/>
  <c r="F21" i="4"/>
  <c r="D13" i="4"/>
  <c r="D7" i="4"/>
  <c r="F7" i="4"/>
  <c r="F46" i="4"/>
  <c r="F6" i="4"/>
  <c r="F33" i="4"/>
  <c r="D25" i="4"/>
  <c r="D19" i="4"/>
  <c r="F19" i="4"/>
  <c r="F15" i="4"/>
  <c r="F18" i="4"/>
  <c r="F45" i="4"/>
  <c r="D37" i="4"/>
  <c r="D31" i="4"/>
  <c r="F31" i="4"/>
  <c r="F27" i="4"/>
  <c r="F30" i="4"/>
  <c r="F43" i="4"/>
  <c r="F39" i="4"/>
  <c r="F42" i="4"/>
  <c r="F12" i="4"/>
  <c r="F2" i="4"/>
  <c r="F23" i="4"/>
  <c r="D29" i="4"/>
  <c r="D35" i="4"/>
  <c r="E22" i="4"/>
  <c r="E4" i="4"/>
  <c r="E45" i="4"/>
  <c r="F24" i="4"/>
  <c r="F8" i="4"/>
  <c r="F35" i="4"/>
  <c r="D41" i="4"/>
  <c r="G41" i="4" s="1"/>
  <c r="H41" i="4" s="1"/>
  <c r="D16" i="4"/>
  <c r="D26" i="4"/>
  <c r="E34" i="4"/>
  <c r="E6" i="4"/>
  <c r="E3" i="4"/>
  <c r="F17" i="4"/>
  <c r="F20" i="4"/>
  <c r="F16" i="4"/>
  <c r="D10" i="4"/>
  <c r="D28" i="4"/>
  <c r="D34" i="4"/>
  <c r="D6" i="4"/>
  <c r="D9" i="4"/>
  <c r="D43" i="4"/>
  <c r="D46" i="4"/>
  <c r="D18" i="4"/>
  <c r="D21" i="4"/>
  <c r="D15" i="4"/>
  <c r="D30" i="4"/>
  <c r="D42" i="4"/>
  <c r="D33" i="4"/>
  <c r="D27" i="4"/>
  <c r="D45" i="4"/>
  <c r="E24" i="4"/>
  <c r="E8" i="4"/>
  <c r="E42" i="4"/>
  <c r="E14" i="4"/>
  <c r="D12" i="4"/>
  <c r="D39" i="4"/>
  <c r="D2" i="4"/>
  <c r="E36" i="4"/>
  <c r="E20" i="4"/>
  <c r="E11" i="4"/>
  <c r="F36" i="4"/>
  <c r="F4" i="4"/>
  <c r="D24" i="4"/>
  <c r="D8" i="4"/>
  <c r="G8" i="4" s="1"/>
  <c r="H8" i="4" s="1"/>
  <c r="D4" i="4"/>
  <c r="G14" i="4" l="1"/>
  <c r="H14" i="4" s="1"/>
  <c r="G4" i="4"/>
  <c r="H4" i="4" s="1"/>
  <c r="G15" i="4"/>
  <c r="H15" i="4" s="1"/>
  <c r="G46" i="4"/>
  <c r="H46" i="4" s="1"/>
  <c r="G23" i="4"/>
  <c r="H23" i="4" s="1"/>
  <c r="G43" i="4"/>
  <c r="H43" i="4" s="1"/>
  <c r="G26" i="4"/>
  <c r="H26" i="4" s="1"/>
  <c r="G17" i="4"/>
  <c r="H17" i="4" s="1"/>
  <c r="G19" i="4"/>
  <c r="H19" i="4" s="1"/>
  <c r="G24" i="4"/>
  <c r="H24" i="4" s="1"/>
  <c r="G44" i="4"/>
  <c r="H44" i="4" s="1"/>
  <c r="G27" i="4"/>
  <c r="H27" i="4" s="1"/>
  <c r="G28" i="4"/>
  <c r="H28" i="4" s="1"/>
  <c r="G11" i="4"/>
  <c r="H11" i="4" s="1"/>
  <c r="G31" i="4"/>
  <c r="H31" i="4" s="1"/>
  <c r="G38" i="4"/>
  <c r="H38" i="4" s="1"/>
  <c r="G25" i="4"/>
  <c r="H25" i="4" s="1"/>
  <c r="G10" i="4"/>
  <c r="H10" i="4" s="1"/>
  <c r="G20" i="4"/>
  <c r="H20" i="4" s="1"/>
  <c r="G22" i="4"/>
  <c r="H22" i="4" s="1"/>
  <c r="G7" i="4"/>
  <c r="H7" i="4" s="1"/>
  <c r="G12" i="4"/>
  <c r="H12" i="4" s="1"/>
  <c r="G29" i="4"/>
  <c r="H29" i="4" s="1"/>
  <c r="G9" i="4"/>
  <c r="H9" i="4" s="1"/>
  <c r="G16" i="4"/>
  <c r="H16" i="4" s="1"/>
  <c r="G40" i="4"/>
  <c r="H40" i="4" s="1"/>
  <c r="G5" i="4"/>
  <c r="H5" i="4" s="1"/>
  <c r="G18" i="4"/>
  <c r="H18" i="4" s="1"/>
  <c r="G33" i="4"/>
  <c r="H33" i="4" s="1"/>
  <c r="G39" i="4"/>
  <c r="H39" i="4" s="1"/>
  <c r="G21" i="4"/>
  <c r="H21" i="4" s="1"/>
  <c r="G3" i="4"/>
  <c r="H3" i="4" s="1"/>
  <c r="G35" i="4"/>
  <c r="H35" i="4" s="1"/>
  <c r="G37" i="4"/>
  <c r="H37" i="4" s="1"/>
  <c r="G13" i="4"/>
  <c r="H13" i="4" s="1"/>
  <c r="G32" i="4"/>
  <c r="H32" i="4" s="1"/>
  <c r="G6" i="4"/>
  <c r="H6" i="4" s="1"/>
  <c r="G34" i="4"/>
  <c r="H34" i="4" s="1"/>
  <c r="G42" i="4"/>
  <c r="H42" i="4" s="1"/>
  <c r="G30" i="4"/>
  <c r="H30" i="4" s="1"/>
  <c r="G45" i="4"/>
  <c r="H45" i="4" s="1"/>
  <c r="G36" i="4"/>
  <c r="H36" i="4" s="1"/>
  <c r="G2" i="4"/>
  <c r="H2" i="4" s="1"/>
</calcChain>
</file>

<file path=xl/sharedStrings.xml><?xml version="1.0" encoding="utf-8"?>
<sst xmlns="http://schemas.openxmlformats.org/spreadsheetml/2006/main" count="217" uniqueCount="78">
  <si>
    <t>Cliente_ID</t>
  </si>
  <si>
    <t>Ingreso_Anual</t>
  </si>
  <si>
    <t>Frecuencia_Gasto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</si>
  <si>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</si>
  <si>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</si>
  <si>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</si>
  <si>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</si>
  <si>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</si>
  <si>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</si>
  <si>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</si>
  <si>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</si>
  <si>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</si>
  <si>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</si>
  <si>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</si>
  <si>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</si>
  <si>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</si>
  <si>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</si>
  <si>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</si>
  <si>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</si>
  <si>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</si>
  <si>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</si>
  <si>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</si>
  <si>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</si>
  <si>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</si>
  <si>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</si>
  <si>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</si>
  <si>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</si>
  <si>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</si>
  <si>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</si>
  <si>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</si>
  <si>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</si>
  <si>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</si>
  <si>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</si>
  <si>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</si>
  <si>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</si>
  <si>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</si>
  <si>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</si>
  <si>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</si>
  <si>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</si>
  <si>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</si>
  <si>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</si>
  <si>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</si>
  <si>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</si>
  <si>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</si>
  <si>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</si>
  <si>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</si>
  <si>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</si>
  <si>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</si>
  <si>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Ingreso_Norm</t>
  </si>
  <si>
    <t>Gasto_Norm</t>
  </si>
  <si>
    <t>CENTROIDES INICIALES (K=3)</t>
  </si>
  <si>
    <t>X (Ingreso_Norm)</t>
  </si>
  <si>
    <t>Y (Gasto_Norm)</t>
  </si>
  <si>
    <t>C1 (Azar)</t>
  </si>
  <si>
    <t>C2 (Azar)</t>
  </si>
  <si>
    <t>C3 (Azar)</t>
  </si>
  <si>
    <t>CENTROIDES ACTUALIZADOS</t>
  </si>
  <si>
    <t>X (Media_Ingreso)</t>
  </si>
  <si>
    <t>Y (Media_Gasto)</t>
  </si>
  <si>
    <t>Centroide 1</t>
  </si>
  <si>
    <t>Centroide 2</t>
  </si>
  <si>
    <t>Centroide 3</t>
  </si>
  <si>
    <t>MÉTODO DEL CODO (WCSS - Inercia)</t>
  </si>
  <si>
    <t>MÉTRICA SILHOUETTE SCORE</t>
  </si>
  <si>
    <t>K</t>
  </si>
  <si>
    <t>WCSS Simulada</t>
  </si>
  <si>
    <t>Tasa de Caída %</t>
  </si>
  <si>
    <t>Cohesión a(i):</t>
  </si>
  <si>
    <t>Distancia promedio a los puntos de SU MISMO clúster.</t>
  </si>
  <si>
    <t>Separación b(i):</t>
  </si>
  <si>
    <t>Distancia promedio a los puntos del clúster VECINO MÁS CERCANO.</t>
  </si>
  <si>
    <t>Silueta S(i):</t>
  </si>
  <si>
    <t>La Inercia exacta (K=3) del modelo se calcula sumando los cuadrados de las distancias mínimas en la hoja 4.</t>
  </si>
  <si>
    <t>Cliente ID</t>
  </si>
  <si>
    <t>Ingreso</t>
  </si>
  <si>
    <t>Frecuencia</t>
  </si>
  <si>
    <t>Min Centroide</t>
  </si>
  <si>
    <t>Cluster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</si>
</sst>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'5_Metricas_Codo_y_Silueta'!$B$2</c:f>
              <c:strCache>
                <c:ptCount val="1"/>
                <c:pt idx="0">
                  <c:v>WCSS Simulada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'5_Metricas_Codo_y_Silueta'!$B$3:$B$7</c:f>
              <c:numCache>
                <c:formatCode>General</c:formatCode>
                <c:ptCount val="5"/>
                <c:pt idx="0">
                  <c:v>15.42</c:v>
                </c:pt>
                <c:pt idx="1">
                  <c:v>6.21</c:v>
                </c:pt>
                <c:pt idx="2">
                  <c:v>2.15</c:v>
                </c:pt>
                <c:pt idx="3">
                  <c:v>1.8</c:v>
                </c:pt>
                <c:pt idx="4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36-460F-B00C-B4853F25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657136"/>
        <c:axId val="1327320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'5_Metricas_Codo_y_Silueta'!$A$2</c15:sqref>
                        </c15:formulaRef>
                      </c:ext>
                    </c:extLst>
                    <c:strCache>
                      <c:ptCount val="1"/>
                      <c:pt idx="0">
                        <c:v>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'5_Metricas_Codo_y_Silueta'!$A$3:$A$7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36-460F-B00C-B4853F2553D8}"/>
                  </c:ext>
                </c:extLst>
              </c15:ser>
            </c15:filteredLineSeries>
          </c:ext>
        </c:extLst>
      </c:lineChart>
      <c:catAx>
        <c:axId val="165065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7320208"/>
        <c:crosses val="autoZero"/>
        <c:auto val="1"/>
        <c:lblAlgn val="ctr"/>
        <c:lblOffset val="100"/>
        <c:noMultiLvlLbl val="0"/>
      </c:catAx>
      <c:valAx>
        <c:axId val="13273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506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9</xdr:row>
      <xdr:rowOff>140970</xdr:rowOff>
    </xdr:from>
    <xdr:to>
      <xdr:col>5</xdr:col>
      <xdr:colOff>539115</xdr:colOff>
      <xdr:row>24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FAC8F3-939B-2AAA-D860-D56E4FC2E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zoomScale="130" zoomScaleNormal="130" workbookViewId="0">
      <selection activeCell="G7" sqref="G7"/>
    </sheetView>
  </sheetViews>
  <sheetFormatPr baseColWidth="10" defaultColWidth="9.140625" defaultRowHeight="15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21490.142459033701</v>
      </c>
      <c r="C2">
        <v>12.18856235379514</v>
      </c>
    </row>
    <row r="3" spans="1:3" x14ac:dyDescent="0.25">
      <c r="A3" t="s">
        <v>4</v>
      </c>
      <c r="B3">
        <v>19585.207096486451</v>
      </c>
      <c r="C3">
        <v>9.9358443983278804</v>
      </c>
    </row>
    <row r="4" spans="1:3" x14ac:dyDescent="0.25">
      <c r="A4" t="s">
        <v>5</v>
      </c>
      <c r="B4">
        <v>21943.065614302079</v>
      </c>
      <c r="C4">
        <v>16.571236662976371</v>
      </c>
    </row>
    <row r="5" spans="1:3" x14ac:dyDescent="0.25">
      <c r="A5" t="s">
        <v>6</v>
      </c>
      <c r="B5">
        <v>24569.08956922407</v>
      </c>
      <c r="C5">
        <v>10.459879622393951</v>
      </c>
    </row>
    <row r="6" spans="1:3" x14ac:dyDescent="0.25">
      <c r="A6" t="s">
        <v>7</v>
      </c>
      <c r="B6">
        <v>19297.539875829989</v>
      </c>
      <c r="C6">
        <v>7.9384814933235424</v>
      </c>
    </row>
    <row r="7" spans="1:3" x14ac:dyDescent="0.25">
      <c r="A7" t="s">
        <v>8</v>
      </c>
      <c r="B7">
        <v>19297.58912915246</v>
      </c>
      <c r="C7">
        <v>22.328243844607769</v>
      </c>
    </row>
    <row r="8" spans="1:3" x14ac:dyDescent="0.25">
      <c r="A8" t="s">
        <v>9</v>
      </c>
      <c r="B8">
        <v>24737.638446522171</v>
      </c>
      <c r="C8">
        <v>13.87111849756732</v>
      </c>
    </row>
    <row r="9" spans="1:3" x14ac:dyDescent="0.25">
      <c r="A9" t="s">
        <v>10</v>
      </c>
      <c r="B9">
        <v>22302.304187458729</v>
      </c>
      <c r="C9">
        <v>15.33764102343962</v>
      </c>
    </row>
    <row r="10" spans="1:3" x14ac:dyDescent="0.25">
      <c r="A10" t="s">
        <v>11</v>
      </c>
      <c r="B10">
        <v>18591.57684219514</v>
      </c>
      <c r="C10">
        <v>7.8762590689327174</v>
      </c>
    </row>
    <row r="11" spans="1:3" x14ac:dyDescent="0.25">
      <c r="A11" t="s">
        <v>12</v>
      </c>
      <c r="B11">
        <v>21627.68013075789</v>
      </c>
      <c r="C11">
        <v>12.278086377374089</v>
      </c>
    </row>
    <row r="12" spans="1:3" x14ac:dyDescent="0.25">
      <c r="A12" t="s">
        <v>13</v>
      </c>
      <c r="B12">
        <v>18609.746921562612</v>
      </c>
      <c r="C12">
        <v>15.55461294854933</v>
      </c>
    </row>
    <row r="13" spans="1:3" x14ac:dyDescent="0.25">
      <c r="A13" t="s">
        <v>14</v>
      </c>
      <c r="B13">
        <v>18602.810739289231</v>
      </c>
      <c r="C13">
        <v>9.2450321128884863</v>
      </c>
    </row>
    <row r="14" spans="1:3" x14ac:dyDescent="0.25">
      <c r="A14" t="s">
        <v>15</v>
      </c>
      <c r="B14">
        <v>20725.8868146981</v>
      </c>
      <c r="C14">
        <v>16.878490091728359</v>
      </c>
    </row>
    <row r="15" spans="1:3" x14ac:dyDescent="0.25">
      <c r="A15" t="s">
        <v>16</v>
      </c>
      <c r="B15">
        <v>14260.159266026611</v>
      </c>
      <c r="C15">
        <v>11.996806550405971</v>
      </c>
    </row>
    <row r="16" spans="1:3" x14ac:dyDescent="0.25">
      <c r="A16" t="s">
        <v>17</v>
      </c>
      <c r="B16">
        <v>14825.246502460899</v>
      </c>
      <c r="C16">
        <v>13.54153125103362</v>
      </c>
    </row>
    <row r="17" spans="1:3" x14ac:dyDescent="0.25">
      <c r="A17" t="s">
        <v>18</v>
      </c>
      <c r="B17">
        <v>46991.466938853016</v>
      </c>
      <c r="C17">
        <v>52.801557916052907</v>
      </c>
    </row>
    <row r="18" spans="1:3" x14ac:dyDescent="0.25">
      <c r="A18" t="s">
        <v>19</v>
      </c>
      <c r="B18">
        <v>59261.390922544691</v>
      </c>
      <c r="C18">
        <v>55.393612290402118</v>
      </c>
    </row>
    <row r="19" spans="1:3" x14ac:dyDescent="0.25">
      <c r="A19" t="s">
        <v>20</v>
      </c>
      <c r="B19">
        <v>49932.513876310331</v>
      </c>
      <c r="C19">
        <v>70.571222262189153</v>
      </c>
    </row>
    <row r="20" spans="1:3" x14ac:dyDescent="0.25">
      <c r="A20" t="s">
        <v>21</v>
      </c>
      <c r="B20">
        <v>44711.445355220501</v>
      </c>
      <c r="C20">
        <v>63.436182895684617</v>
      </c>
    </row>
    <row r="21" spans="1:3" x14ac:dyDescent="0.25">
      <c r="A21" t="s">
        <v>22</v>
      </c>
      <c r="B21">
        <v>54112.724560515948</v>
      </c>
      <c r="C21">
        <v>42.369598446372663</v>
      </c>
    </row>
    <row r="22" spans="1:3" x14ac:dyDescent="0.25">
      <c r="A22" t="s">
        <v>23</v>
      </c>
      <c r="B22">
        <v>43895.781750144888</v>
      </c>
      <c r="C22">
        <v>63.240839693947947</v>
      </c>
    </row>
    <row r="23" spans="1:3" x14ac:dyDescent="0.25">
      <c r="A23" t="s">
        <v>24</v>
      </c>
      <c r="B23">
        <v>51044.317975023783</v>
      </c>
      <c r="C23">
        <v>56.149177195836828</v>
      </c>
    </row>
    <row r="24" spans="1:3" x14ac:dyDescent="0.25">
      <c r="A24" t="s">
        <v>25</v>
      </c>
      <c r="B24">
        <v>40201.64938060112</v>
      </c>
      <c r="C24">
        <v>53.230779996940413</v>
      </c>
    </row>
    <row r="25" spans="1:3" x14ac:dyDescent="0.25">
      <c r="A25" t="s">
        <v>26</v>
      </c>
      <c r="B25">
        <v>43359.069755507851</v>
      </c>
      <c r="C25">
        <v>66.116762888408672</v>
      </c>
    </row>
    <row r="26" spans="1:3" x14ac:dyDescent="0.25">
      <c r="A26" t="s">
        <v>27</v>
      </c>
      <c r="B26">
        <v>50984.306179345607</v>
      </c>
      <c r="C26">
        <v>70.309995224959508</v>
      </c>
    </row>
    <row r="27" spans="1:3" x14ac:dyDescent="0.25">
      <c r="A27" t="s">
        <v>28</v>
      </c>
      <c r="B27">
        <v>53692.332899977053</v>
      </c>
      <c r="C27">
        <v>69.312801191161981</v>
      </c>
    </row>
    <row r="28" spans="1:3" x14ac:dyDescent="0.25">
      <c r="A28" t="s">
        <v>29</v>
      </c>
      <c r="B28">
        <v>50856.841405949846</v>
      </c>
      <c r="C28">
        <v>51.607824767773607</v>
      </c>
    </row>
    <row r="29" spans="1:3" x14ac:dyDescent="0.25">
      <c r="A29" t="s">
        <v>30</v>
      </c>
      <c r="B29">
        <v>49421.758588058787</v>
      </c>
      <c r="C29">
        <v>56.907876241487863</v>
      </c>
    </row>
    <row r="30" spans="1:3" x14ac:dyDescent="0.25">
      <c r="A30" t="s">
        <v>31</v>
      </c>
      <c r="B30">
        <v>48494.481522053553</v>
      </c>
      <c r="C30">
        <v>63.312634314035641</v>
      </c>
    </row>
    <row r="31" spans="1:3" x14ac:dyDescent="0.25">
      <c r="A31" t="s">
        <v>32</v>
      </c>
      <c r="B31">
        <v>42607.390048162873</v>
      </c>
      <c r="C31">
        <v>69.755451271223592</v>
      </c>
    </row>
    <row r="32" spans="1:3" x14ac:dyDescent="0.25">
      <c r="A32" t="s">
        <v>33</v>
      </c>
      <c r="B32">
        <v>95208.257621547105</v>
      </c>
      <c r="C32">
        <v>36.575220035001792</v>
      </c>
    </row>
    <row r="33" spans="1:3" x14ac:dyDescent="0.25">
      <c r="A33" t="s">
        <v>34</v>
      </c>
      <c r="B33">
        <v>98143.410233361836</v>
      </c>
      <c r="C33">
        <v>30.69637654590537</v>
      </c>
    </row>
    <row r="34" spans="1:3" x14ac:dyDescent="0.25">
      <c r="A34" t="s">
        <v>35</v>
      </c>
      <c r="B34">
        <v>88936.650259939721</v>
      </c>
      <c r="C34">
        <v>27.60794119627306</v>
      </c>
    </row>
    <row r="35" spans="1:3" x14ac:dyDescent="0.25">
      <c r="A35" t="s">
        <v>36</v>
      </c>
      <c r="B35">
        <v>88037.933759193285</v>
      </c>
      <c r="C35">
        <v>30.734086212284019</v>
      </c>
    </row>
    <row r="36" spans="1:3" x14ac:dyDescent="0.25">
      <c r="A36" t="s">
        <v>37</v>
      </c>
      <c r="B36">
        <v>108125.258223942</v>
      </c>
      <c r="C36">
        <v>14.099448683192859</v>
      </c>
    </row>
    <row r="37" spans="1:3" x14ac:dyDescent="0.25">
      <c r="A37" t="s">
        <v>38</v>
      </c>
      <c r="B37">
        <v>113562.40028570819</v>
      </c>
      <c r="C37">
        <v>28.242624897299901</v>
      </c>
    </row>
    <row r="38" spans="1:3" x14ac:dyDescent="0.25">
      <c r="A38" t="s">
        <v>39</v>
      </c>
      <c r="B38">
        <v>99279.898784196659</v>
      </c>
      <c r="C38">
        <v>32.85690057209397</v>
      </c>
    </row>
    <row r="39" spans="1:3" x14ac:dyDescent="0.25">
      <c r="A39" t="s">
        <v>40</v>
      </c>
      <c r="B39">
        <v>110035.3289789202</v>
      </c>
      <c r="C39">
        <v>41.82315235793213</v>
      </c>
    </row>
    <row r="40" spans="1:3" x14ac:dyDescent="0.25">
      <c r="A40" t="s">
        <v>41</v>
      </c>
      <c r="B40">
        <v>103616.3602504763</v>
      </c>
      <c r="C40">
        <v>25.853838253810821</v>
      </c>
    </row>
    <row r="41" spans="1:3" x14ac:dyDescent="0.25">
      <c r="A41" t="s">
        <v>42</v>
      </c>
      <c r="B41">
        <v>93548.802453948752</v>
      </c>
      <c r="C41">
        <v>23.532051176854502</v>
      </c>
    </row>
    <row r="42" spans="1:3" x14ac:dyDescent="0.25">
      <c r="A42" t="s">
        <v>43</v>
      </c>
      <c r="B42">
        <v>103613.9560550841</v>
      </c>
      <c r="C42">
        <v>25.985943651323709</v>
      </c>
    </row>
    <row r="43" spans="1:3" x14ac:dyDescent="0.25">
      <c r="A43" t="s">
        <v>44</v>
      </c>
      <c r="B43">
        <v>115380.36566465969</v>
      </c>
      <c r="C43">
        <v>37.323216941616593</v>
      </c>
    </row>
    <row r="44" spans="1:3" x14ac:dyDescent="0.25">
      <c r="A44" t="s">
        <v>45</v>
      </c>
      <c r="B44">
        <v>99641.739608900491</v>
      </c>
      <c r="C44">
        <v>32.630008877277483</v>
      </c>
    </row>
    <row r="45" spans="1:3" x14ac:dyDescent="0.25">
      <c r="A45" t="s">
        <v>46</v>
      </c>
      <c r="B45">
        <v>115646.43655814011</v>
      </c>
      <c r="C45">
        <v>25.76191836986369</v>
      </c>
    </row>
    <row r="46" spans="1:3" x14ac:dyDescent="0.25">
      <c r="A46" t="s">
        <v>47</v>
      </c>
      <c r="B46">
        <v>73802.548959102554</v>
      </c>
      <c r="C46">
        <v>34.106139464906853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zoomScale="145" zoomScaleNormal="145" workbookViewId="0">
      <selection activeCell="B2" sqref="B2"/>
    </sheetView>
  </sheetViews>
  <sheetFormatPr baseColWidth="10" defaultColWidth="9.140625" defaultRowHeight="15" x14ac:dyDescent="0.25"/>
  <cols>
    <col min="1" max="3" width="16" customWidth="1"/>
  </cols>
  <sheetData>
    <row r="1" spans="1:3" x14ac:dyDescent="0.25">
      <c r="A1" s="1" t="s">
        <v>0</v>
      </c>
      <c r="B1" s="1" t="s">
        <v>48</v>
      </c>
      <c r="C1" s="1" t="s">
        <v>49</v>
      </c>
    </row>
    <row r="2" spans="1:3" x14ac:dyDescent="0.25">
      <c r="A2" t="s">
        <v>3</v>
      </c>
      <c r="B2">
        <v>7.1311260124248488E-2</v>
      </c>
      <c r="C2">
        <v>6.8782292312219717E-2</v>
      </c>
    </row>
    <row r="3" spans="1:3" x14ac:dyDescent="0.25">
      <c r="A3" t="s">
        <v>4</v>
      </c>
      <c r="B3">
        <v>5.252237258023932E-2</v>
      </c>
      <c r="C3">
        <v>3.2850889840169741E-2</v>
      </c>
    </row>
    <row r="4" spans="1:3" x14ac:dyDescent="0.25">
      <c r="A4" t="s">
        <v>5</v>
      </c>
      <c r="B4">
        <v>7.577856247882081E-2</v>
      </c>
      <c r="C4">
        <v>0.13868701967718669</v>
      </c>
    </row>
    <row r="5" spans="1:3" x14ac:dyDescent="0.25">
      <c r="A5" t="s">
        <v>6</v>
      </c>
      <c r="B5">
        <v>0.1016797398872379</v>
      </c>
      <c r="C5">
        <v>4.120937985874959E-2</v>
      </c>
    </row>
    <row r="6" spans="1:3" x14ac:dyDescent="0.25">
      <c r="A6" t="s">
        <v>7</v>
      </c>
      <c r="B6">
        <v>4.9685033757475072E-2</v>
      </c>
      <c r="C6">
        <v>9.9246289050407407E-4</v>
      </c>
    </row>
    <row r="7" spans="1:3" x14ac:dyDescent="0.25">
      <c r="A7" t="s">
        <v>8</v>
      </c>
      <c r="B7">
        <v>4.9685519556182549E-2</v>
      </c>
      <c r="C7">
        <v>0.23051269256075629</v>
      </c>
    </row>
    <row r="8" spans="1:3" x14ac:dyDescent="0.25">
      <c r="A8" t="s">
        <v>9</v>
      </c>
      <c r="B8">
        <v>0.1033421825944741</v>
      </c>
      <c r="C8">
        <v>9.5619474409061003E-2</v>
      </c>
    </row>
    <row r="9" spans="1:3" x14ac:dyDescent="0.25">
      <c r="A9" t="s">
        <v>10</v>
      </c>
      <c r="B9">
        <v>7.9321828715153878E-2</v>
      </c>
      <c r="C9">
        <v>0.1190108674520996</v>
      </c>
    </row>
    <row r="10" spans="1:3" x14ac:dyDescent="0.25">
      <c r="A10" t="s">
        <v>11</v>
      </c>
      <c r="B10">
        <v>4.2721931328920243E-2</v>
      </c>
      <c r="C10">
        <v>0</v>
      </c>
    </row>
    <row r="11" spans="1:3" x14ac:dyDescent="0.25">
      <c r="A11" t="s">
        <v>12</v>
      </c>
      <c r="B11">
        <v>7.2667831007386094E-2</v>
      </c>
      <c r="C11">
        <v>7.0210222388564031E-2</v>
      </c>
    </row>
    <row r="12" spans="1:3" x14ac:dyDescent="0.25">
      <c r="A12" t="s">
        <v>13</v>
      </c>
      <c r="B12">
        <v>4.2901147686920209E-2</v>
      </c>
      <c r="C12">
        <v>0.12247162273543701</v>
      </c>
    </row>
    <row r="13" spans="1:3" x14ac:dyDescent="0.25">
      <c r="A13" t="s">
        <v>14</v>
      </c>
      <c r="B13">
        <v>4.2832734263934018E-2</v>
      </c>
      <c r="C13">
        <v>2.1832264894016191E-2</v>
      </c>
    </row>
    <row r="14" spans="1:3" x14ac:dyDescent="0.25">
      <c r="A14" t="s">
        <v>15</v>
      </c>
      <c r="B14">
        <v>6.3773202067992751E-2</v>
      </c>
      <c r="C14">
        <v>0.1435877870291809</v>
      </c>
    </row>
    <row r="15" spans="1:3" x14ac:dyDescent="0.25">
      <c r="A15" t="s">
        <v>16</v>
      </c>
      <c r="B15">
        <v>0</v>
      </c>
      <c r="C15">
        <v>6.5723740338944334E-2</v>
      </c>
    </row>
    <row r="16" spans="1:3" x14ac:dyDescent="0.25">
      <c r="A16" t="s">
        <v>17</v>
      </c>
      <c r="B16">
        <v>5.5736067200314347E-3</v>
      </c>
      <c r="C16">
        <v>9.0362477199927044E-2</v>
      </c>
    </row>
    <row r="17" spans="1:3" x14ac:dyDescent="0.25">
      <c r="A17" t="s">
        <v>18</v>
      </c>
      <c r="B17">
        <v>0.32283765167273271</v>
      </c>
      <c r="C17">
        <v>0.71656950668650254</v>
      </c>
    </row>
    <row r="18" spans="1:3" x14ac:dyDescent="0.25">
      <c r="A18" t="s">
        <v>19</v>
      </c>
      <c r="B18">
        <v>0.44385919730399842</v>
      </c>
      <c r="C18">
        <v>0.75791340805158081</v>
      </c>
    </row>
    <row r="19" spans="1:3" x14ac:dyDescent="0.25">
      <c r="A19" t="s">
        <v>20</v>
      </c>
      <c r="B19">
        <v>0.35184598510807119</v>
      </c>
      <c r="C19">
        <v>1</v>
      </c>
    </row>
    <row r="20" spans="1:3" x14ac:dyDescent="0.25">
      <c r="A20" t="s">
        <v>21</v>
      </c>
      <c r="B20">
        <v>0.30034918829752327</v>
      </c>
      <c r="C20">
        <v>0.88619437665971879</v>
      </c>
    </row>
    <row r="21" spans="1:3" x14ac:dyDescent="0.25">
      <c r="A21" t="s">
        <v>22</v>
      </c>
      <c r="B21">
        <v>0.39307652237458518</v>
      </c>
      <c r="C21">
        <v>0.55017720117507141</v>
      </c>
    </row>
    <row r="22" spans="1:3" x14ac:dyDescent="0.25">
      <c r="A22" t="s">
        <v>23</v>
      </c>
      <c r="B22">
        <v>0.29230407975955491</v>
      </c>
      <c r="C22">
        <v>0.88307860480521549</v>
      </c>
    </row>
    <row r="23" spans="1:3" x14ac:dyDescent="0.25">
      <c r="A23" t="s">
        <v>24</v>
      </c>
      <c r="B23">
        <v>0.36281200662901247</v>
      </c>
      <c r="C23">
        <v>0.76996485312709184</v>
      </c>
    </row>
    <row r="24" spans="1:3" x14ac:dyDescent="0.25">
      <c r="A24" t="s">
        <v>25</v>
      </c>
      <c r="B24">
        <v>0.25586786306229647</v>
      </c>
      <c r="C24">
        <v>0.72341570387724696</v>
      </c>
    </row>
    <row r="25" spans="1:3" x14ac:dyDescent="0.25">
      <c r="A25" t="s">
        <v>26</v>
      </c>
      <c r="B25">
        <v>0.28701034564709049</v>
      </c>
      <c r="C25">
        <v>0.92895028329389606</v>
      </c>
    </row>
    <row r="26" spans="1:3" x14ac:dyDescent="0.25">
      <c r="A26" t="s">
        <v>27</v>
      </c>
      <c r="B26">
        <v>0.36222009421955248</v>
      </c>
      <c r="C26">
        <v>0.9958333648522224</v>
      </c>
    </row>
    <row r="27" spans="1:3" x14ac:dyDescent="0.25">
      <c r="A27" t="s">
        <v>28</v>
      </c>
      <c r="B27">
        <v>0.3889300868631238</v>
      </c>
      <c r="C27">
        <v>0.97992787606959586</v>
      </c>
    </row>
    <row r="28" spans="1:3" x14ac:dyDescent="0.25">
      <c r="A28" t="s">
        <v>29</v>
      </c>
      <c r="B28">
        <v>0.36096287502973529</v>
      </c>
      <c r="C28">
        <v>0.69752917094853206</v>
      </c>
    </row>
    <row r="29" spans="1:3" x14ac:dyDescent="0.25">
      <c r="A29" t="s">
        <v>30</v>
      </c>
      <c r="B29">
        <v>0.34680826894082339</v>
      </c>
      <c r="C29">
        <v>0.78206628850575755</v>
      </c>
    </row>
    <row r="30" spans="1:3" x14ac:dyDescent="0.25">
      <c r="A30" t="s">
        <v>31</v>
      </c>
      <c r="B30">
        <v>0.33766228695221989</v>
      </c>
      <c r="C30">
        <v>0.88422374655873059</v>
      </c>
    </row>
    <row r="31" spans="1:3" x14ac:dyDescent="0.25">
      <c r="A31" t="s">
        <v>32</v>
      </c>
      <c r="B31">
        <v>0.27959632742469093</v>
      </c>
      <c r="C31">
        <v>0.98698825313205851</v>
      </c>
    </row>
    <row r="32" spans="1:3" x14ac:dyDescent="0.25">
      <c r="A32" t="s">
        <v>33</v>
      </c>
      <c r="B32">
        <v>0.79841276864612931</v>
      </c>
      <c r="C32">
        <v>0.45775544803503421</v>
      </c>
    </row>
    <row r="33" spans="1:3" x14ac:dyDescent="0.25">
      <c r="A33" t="s">
        <v>34</v>
      </c>
      <c r="B33">
        <v>0.82736296476939752</v>
      </c>
      <c r="C33">
        <v>0.36398645624258408</v>
      </c>
    </row>
    <row r="34" spans="1:3" x14ac:dyDescent="0.25">
      <c r="A34" t="s">
        <v>35</v>
      </c>
      <c r="B34">
        <v>0.73655422596053821</v>
      </c>
      <c r="C34">
        <v>0.31472515689207248</v>
      </c>
    </row>
    <row r="35" spans="1:3" x14ac:dyDescent="0.25">
      <c r="A35" t="s">
        <v>36</v>
      </c>
      <c r="B35">
        <v>0.72768994447442481</v>
      </c>
      <c r="C35">
        <v>0.36458793464623851</v>
      </c>
    </row>
    <row r="36" spans="1:3" x14ac:dyDescent="0.25">
      <c r="A36" t="s">
        <v>37</v>
      </c>
      <c r="B36">
        <v>0.9258166042281234</v>
      </c>
      <c r="C36">
        <v>9.9261396726196924E-2</v>
      </c>
    </row>
    <row r="37" spans="1:3" x14ac:dyDescent="0.25">
      <c r="A37" t="s">
        <v>38</v>
      </c>
      <c r="B37">
        <v>0.97944459222595448</v>
      </c>
      <c r="C37">
        <v>0.32484851718611141</v>
      </c>
    </row>
    <row r="38" spans="1:3" x14ac:dyDescent="0.25">
      <c r="A38" t="s">
        <v>39</v>
      </c>
      <c r="B38">
        <v>0.83857245565109129</v>
      </c>
      <c r="C38">
        <v>0.39844734298924039</v>
      </c>
    </row>
    <row r="39" spans="1:3" x14ac:dyDescent="0.25">
      <c r="A39" t="s">
        <v>40</v>
      </c>
      <c r="B39">
        <v>0.94465614352272609</v>
      </c>
      <c r="C39">
        <v>0.54146125238734955</v>
      </c>
    </row>
    <row r="40" spans="1:3" x14ac:dyDescent="0.25">
      <c r="A40" t="s">
        <v>41</v>
      </c>
      <c r="B40">
        <v>0.88134413621872365</v>
      </c>
      <c r="C40">
        <v>0.28674678585363289</v>
      </c>
    </row>
    <row r="41" spans="1:3" x14ac:dyDescent="0.25">
      <c r="A41" t="s">
        <v>42</v>
      </c>
      <c r="B41">
        <v>0.78204511799438348</v>
      </c>
      <c r="C41">
        <v>0.24971371399745459</v>
      </c>
    </row>
    <row r="42" spans="1:3" x14ac:dyDescent="0.25">
      <c r="A42" t="s">
        <v>43</v>
      </c>
      <c r="B42">
        <v>0.88132042299582591</v>
      </c>
      <c r="C42">
        <v>0.28885389926090421</v>
      </c>
    </row>
    <row r="43" spans="1:3" x14ac:dyDescent="0.25">
      <c r="A43" t="s">
        <v>44</v>
      </c>
      <c r="B43">
        <v>0.99737567153478013</v>
      </c>
      <c r="C43">
        <v>0.46968618167800807</v>
      </c>
    </row>
    <row r="44" spans="1:3" x14ac:dyDescent="0.25">
      <c r="A44" t="s">
        <v>45</v>
      </c>
      <c r="B44">
        <v>0.84214138859120991</v>
      </c>
      <c r="C44">
        <v>0.3948283649524067</v>
      </c>
    </row>
    <row r="45" spans="1:3" x14ac:dyDescent="0.25">
      <c r="A45" t="s">
        <v>46</v>
      </c>
      <c r="B45">
        <v>1</v>
      </c>
      <c r="C45">
        <v>0.28528064121831692</v>
      </c>
    </row>
    <row r="46" spans="1:3" x14ac:dyDescent="0.25">
      <c r="A46" t="s">
        <v>47</v>
      </c>
      <c r="B46">
        <v>0.58728253254158669</v>
      </c>
      <c r="C46">
        <v>0.41837300893089052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topLeftCell="B1" zoomScale="115" zoomScaleNormal="115" workbookViewId="0">
      <selection activeCell="K3" sqref="K3:L5"/>
    </sheetView>
  </sheetViews>
  <sheetFormatPr baseColWidth="10" defaultColWidth="9.140625" defaultRowHeight="15" x14ac:dyDescent="0.25"/>
  <cols>
    <col min="1" max="12" width="16" customWidth="1"/>
  </cols>
  <sheetData>
    <row r="1" spans="1:12" x14ac:dyDescent="0.25">
      <c r="A1" s="1" t="s">
        <v>73</v>
      </c>
      <c r="B1" s="1" t="s">
        <v>74</v>
      </c>
      <c r="C1" s="1" t="s">
        <v>75</v>
      </c>
      <c r="D1" s="1" t="s">
        <v>59</v>
      </c>
      <c r="E1" s="1" t="s">
        <v>60</v>
      </c>
      <c r="F1" s="1" t="s">
        <v>61</v>
      </c>
      <c r="G1" s="1" t="s">
        <v>76</v>
      </c>
      <c r="H1" s="1" t="s">
        <v>77</v>
      </c>
      <c r="I1" s="1"/>
      <c r="J1" s="1" t="s">
        <v>50</v>
      </c>
      <c r="K1" s="1"/>
      <c r="L1" s="1"/>
    </row>
    <row r="2" spans="1:12" x14ac:dyDescent="0.25">
      <c r="A2" t="s">
        <v>3</v>
      </c>
      <c r="B2">
        <v>7.1311260124248488E-2</v>
      </c>
      <c r="C2">
        <v>6.8782292312219717E-2</v>
      </c>
      <c r="D2">
        <f>SQRT((B2-$K$3)^2 + (C2-$L$3)^2)</f>
        <v>0.98510642127900983</v>
      </c>
      <c r="E2" s="5">
        <f t="shared" ref="E2:E46" si="0">SQRT((B2-$K$4)^2 + (C2-$L$4)^2)</f>
        <v>0.62468275202871526</v>
      </c>
      <c r="F2">
        <f t="shared" ref="F2:F46" si="1">SQRT((B2-$K$5)^2 + (C2-$L$5)^2)</f>
        <v>0.90232539569025882</v>
      </c>
      <c r="G2">
        <f t="shared" ref="G2:G46" si="2">MIN(D2:F2)</f>
        <v>0.62468275202871526</v>
      </c>
      <c r="H2">
        <f t="shared" ref="H2:H46" si="3">MATCH(G2, D2:F2, 0)</f>
        <v>2</v>
      </c>
      <c r="K2" t="s">
        <v>51</v>
      </c>
      <c r="L2" t="s">
        <v>52</v>
      </c>
    </row>
    <row r="3" spans="1:12" x14ac:dyDescent="0.25">
      <c r="A3" t="s">
        <v>4</v>
      </c>
      <c r="B3">
        <v>5.252237258023932E-2</v>
      </c>
      <c r="C3">
        <v>3.2850889840169741E-2</v>
      </c>
      <c r="D3">
        <f t="shared" ref="D2:D46" si="4">SQRT((B3-$K$3)^2 + (C3-$L$3)^2)</f>
        <v>1.0255141792175064</v>
      </c>
      <c r="E3">
        <f t="shared" si="0"/>
        <v>0.66513067491460154</v>
      </c>
      <c r="F3">
        <f t="shared" si="1"/>
        <v>0.94246989858784869</v>
      </c>
      <c r="G3">
        <f t="shared" si="2"/>
        <v>0.66513067491460154</v>
      </c>
      <c r="H3">
        <f t="shared" si="3"/>
        <v>2</v>
      </c>
      <c r="J3" t="s">
        <v>53</v>
      </c>
      <c r="K3">
        <v>0.6</v>
      </c>
      <c r="L3">
        <v>0.9</v>
      </c>
    </row>
    <row r="4" spans="1:12" x14ac:dyDescent="0.25">
      <c r="A4" t="s">
        <v>5</v>
      </c>
      <c r="B4">
        <v>7.577856247882081E-2</v>
      </c>
      <c r="C4">
        <v>0.13868701967718669</v>
      </c>
      <c r="D4">
        <f t="shared" si="4"/>
        <v>0.92434061339139262</v>
      </c>
      <c r="E4">
        <f t="shared" si="0"/>
        <v>0.56385211391163215</v>
      </c>
      <c r="F4">
        <f t="shared" si="1"/>
        <v>0.84388564006043687</v>
      </c>
      <c r="G4">
        <f t="shared" si="2"/>
        <v>0.56385211391163215</v>
      </c>
      <c r="H4">
        <f t="shared" si="3"/>
        <v>2</v>
      </c>
      <c r="J4" t="s">
        <v>54</v>
      </c>
      <c r="K4">
        <v>0.4</v>
      </c>
      <c r="L4">
        <v>0.6</v>
      </c>
    </row>
    <row r="5" spans="1:12" x14ac:dyDescent="0.25">
      <c r="A5" t="s">
        <v>6</v>
      </c>
      <c r="B5">
        <v>0.1016797398872379</v>
      </c>
      <c r="C5">
        <v>4.120937985874959E-2</v>
      </c>
      <c r="D5">
        <f t="shared" si="4"/>
        <v>0.99289697898696638</v>
      </c>
      <c r="E5">
        <f t="shared" si="0"/>
        <v>0.63343660673471436</v>
      </c>
      <c r="F5">
        <f t="shared" si="1"/>
        <v>0.90779198435169839</v>
      </c>
      <c r="G5">
        <f t="shared" si="2"/>
        <v>0.63343660673471436</v>
      </c>
      <c r="H5">
        <f t="shared" si="3"/>
        <v>2</v>
      </c>
      <c r="J5" t="s">
        <v>55</v>
      </c>
      <c r="K5">
        <v>0.6</v>
      </c>
      <c r="L5">
        <v>0.8</v>
      </c>
    </row>
    <row r="6" spans="1:12" x14ac:dyDescent="0.25">
      <c r="A6" t="s">
        <v>7</v>
      </c>
      <c r="B6">
        <v>4.9685033757475072E-2</v>
      </c>
      <c r="C6">
        <v>9.9246289050407407E-4</v>
      </c>
      <c r="D6">
        <f t="shared" si="4"/>
        <v>1.0540688373394753</v>
      </c>
      <c r="E6">
        <f t="shared" si="0"/>
        <v>0.69392406291141506</v>
      </c>
      <c r="F6">
        <f t="shared" si="1"/>
        <v>0.97018534643040955</v>
      </c>
      <c r="G6">
        <f t="shared" si="2"/>
        <v>0.69392406291141506</v>
      </c>
      <c r="H6">
        <f t="shared" si="3"/>
        <v>2</v>
      </c>
    </row>
    <row r="7" spans="1:12" x14ac:dyDescent="0.25">
      <c r="A7" t="s">
        <v>8</v>
      </c>
      <c r="B7">
        <v>4.9685519556182549E-2</v>
      </c>
      <c r="C7">
        <v>0.23051269256075629</v>
      </c>
      <c r="D7">
        <f t="shared" si="4"/>
        <v>0.8666367648608021</v>
      </c>
      <c r="E7">
        <f t="shared" si="0"/>
        <v>0.50915725033365078</v>
      </c>
      <c r="F7">
        <f t="shared" si="1"/>
        <v>0.79193549025191978</v>
      </c>
      <c r="G7">
        <f t="shared" si="2"/>
        <v>0.50915725033365078</v>
      </c>
      <c r="H7">
        <f t="shared" si="3"/>
        <v>2</v>
      </c>
    </row>
    <row r="8" spans="1:12" x14ac:dyDescent="0.25">
      <c r="A8" t="s">
        <v>9</v>
      </c>
      <c r="B8">
        <v>0.1033421825944741</v>
      </c>
      <c r="C8">
        <v>9.5619474409061003E-2</v>
      </c>
      <c r="D8">
        <f t="shared" si="4"/>
        <v>0.94535549796887297</v>
      </c>
      <c r="E8">
        <f t="shared" si="0"/>
        <v>0.5851543174438707</v>
      </c>
      <c r="F8">
        <f t="shared" si="1"/>
        <v>0.86187058913840897</v>
      </c>
      <c r="G8">
        <f t="shared" si="2"/>
        <v>0.5851543174438707</v>
      </c>
      <c r="H8">
        <f t="shared" si="3"/>
        <v>2</v>
      </c>
    </row>
    <row r="9" spans="1:12" x14ac:dyDescent="0.25">
      <c r="A9" t="s">
        <v>10</v>
      </c>
      <c r="B9">
        <v>7.9321828715153878E-2</v>
      </c>
      <c r="C9">
        <v>0.1190108674520996</v>
      </c>
      <c r="D9">
        <f t="shared" si="4"/>
        <v>0.93864252152267924</v>
      </c>
      <c r="E9">
        <f t="shared" si="0"/>
        <v>0.57808739405713983</v>
      </c>
      <c r="F9">
        <f t="shared" si="1"/>
        <v>0.85723506502060076</v>
      </c>
      <c r="G9">
        <f t="shared" si="2"/>
        <v>0.57808739405713983</v>
      </c>
      <c r="H9">
        <f t="shared" si="3"/>
        <v>2</v>
      </c>
    </row>
    <row r="10" spans="1:12" x14ac:dyDescent="0.25">
      <c r="A10" t="s">
        <v>11</v>
      </c>
      <c r="B10">
        <v>4.2721931328920243E-2</v>
      </c>
      <c r="C10">
        <v>0</v>
      </c>
      <c r="D10">
        <f t="shared" si="4"/>
        <v>1.0585645213314911</v>
      </c>
      <c r="E10">
        <f t="shared" si="0"/>
        <v>0.69831770588560682</v>
      </c>
      <c r="F10">
        <f t="shared" si="1"/>
        <v>0.97496607419015813</v>
      </c>
      <c r="G10">
        <f t="shared" si="2"/>
        <v>0.69831770588560682</v>
      </c>
      <c r="H10">
        <f t="shared" si="3"/>
        <v>2</v>
      </c>
    </row>
    <row r="11" spans="1:12" x14ac:dyDescent="0.25">
      <c r="A11" t="s">
        <v>12</v>
      </c>
      <c r="B11">
        <v>7.2667831007386094E-2</v>
      </c>
      <c r="C11">
        <v>7.0210222388564031E-2</v>
      </c>
      <c r="D11">
        <f t="shared" si="4"/>
        <v>0.9831735815627326</v>
      </c>
      <c r="E11">
        <f t="shared" si="0"/>
        <v>0.62275481316404446</v>
      </c>
      <c r="F11">
        <f t="shared" si="1"/>
        <v>0.90037344250072371</v>
      </c>
      <c r="G11">
        <f t="shared" si="2"/>
        <v>0.62275481316404446</v>
      </c>
      <c r="H11">
        <f t="shared" si="3"/>
        <v>2</v>
      </c>
    </row>
    <row r="12" spans="1:12" x14ac:dyDescent="0.25">
      <c r="A12" t="s">
        <v>13</v>
      </c>
      <c r="B12">
        <v>4.2901147686920209E-2</v>
      </c>
      <c r="C12">
        <v>0.12247162273543701</v>
      </c>
      <c r="D12">
        <f t="shared" si="4"/>
        <v>0.95650902175578834</v>
      </c>
      <c r="E12">
        <f t="shared" si="0"/>
        <v>0.59628260197346494</v>
      </c>
      <c r="F12">
        <f t="shared" si="1"/>
        <v>0.87715667542765863</v>
      </c>
      <c r="G12">
        <f t="shared" si="2"/>
        <v>0.59628260197346494</v>
      </c>
      <c r="H12">
        <f t="shared" si="3"/>
        <v>2</v>
      </c>
    </row>
    <row r="13" spans="1:12" x14ac:dyDescent="0.25">
      <c r="A13" t="s">
        <v>14</v>
      </c>
      <c r="B13">
        <v>4.2832734263934018E-2</v>
      </c>
      <c r="C13">
        <v>2.1832264894016191E-2</v>
      </c>
      <c r="D13">
        <f t="shared" si="4"/>
        <v>1.0400066985308205</v>
      </c>
      <c r="E13">
        <f t="shared" si="0"/>
        <v>0.67959280869573702</v>
      </c>
      <c r="F13">
        <f t="shared" si="1"/>
        <v>0.95706864224452604</v>
      </c>
      <c r="G13">
        <f t="shared" si="2"/>
        <v>0.67959280869573702</v>
      </c>
      <c r="H13">
        <f t="shared" si="3"/>
        <v>2</v>
      </c>
    </row>
    <row r="14" spans="1:12" x14ac:dyDescent="0.25">
      <c r="A14" t="s">
        <v>15</v>
      </c>
      <c r="B14">
        <v>6.3773202067992751E-2</v>
      </c>
      <c r="C14">
        <v>0.1435877870291809</v>
      </c>
      <c r="D14">
        <f t="shared" si="4"/>
        <v>0.92719933927490772</v>
      </c>
      <c r="E14">
        <f t="shared" si="0"/>
        <v>0.5668867327751913</v>
      </c>
      <c r="F14">
        <f t="shared" si="1"/>
        <v>0.84759434410433732</v>
      </c>
      <c r="G14">
        <f t="shared" si="2"/>
        <v>0.5668867327751913</v>
      </c>
      <c r="H14">
        <f t="shared" si="3"/>
        <v>2</v>
      </c>
    </row>
    <row r="15" spans="1:12" x14ac:dyDescent="0.25">
      <c r="A15" t="s">
        <v>16</v>
      </c>
      <c r="B15">
        <v>0</v>
      </c>
      <c r="C15">
        <v>6.5723740338944334E-2</v>
      </c>
      <c r="D15">
        <f t="shared" si="4"/>
        <v>1.0276268181757622</v>
      </c>
      <c r="E15">
        <f t="shared" si="0"/>
        <v>0.66742124751719412</v>
      </c>
      <c r="F15">
        <f t="shared" si="1"/>
        <v>0.94824133294316493</v>
      </c>
      <c r="G15">
        <f t="shared" si="2"/>
        <v>0.66742124751719412</v>
      </c>
      <c r="H15">
        <f t="shared" si="3"/>
        <v>2</v>
      </c>
    </row>
    <row r="16" spans="1:12" x14ac:dyDescent="0.25">
      <c r="A16" t="s">
        <v>17</v>
      </c>
      <c r="B16">
        <v>5.5736067200314347E-3</v>
      </c>
      <c r="C16">
        <v>9.0362477199927044E-2</v>
      </c>
      <c r="D16">
        <f t="shared" si="4"/>
        <v>1.0044180680143455</v>
      </c>
      <c r="E16">
        <f t="shared" si="0"/>
        <v>0.64443974455463193</v>
      </c>
      <c r="F16">
        <f t="shared" si="1"/>
        <v>0.92570413782895877</v>
      </c>
      <c r="G16">
        <f t="shared" si="2"/>
        <v>0.64443974455463193</v>
      </c>
      <c r="H16">
        <f t="shared" si="3"/>
        <v>2</v>
      </c>
    </row>
    <row r="17" spans="1:8" x14ac:dyDescent="0.25">
      <c r="A17" t="s">
        <v>18</v>
      </c>
      <c r="B17">
        <v>0.32283765167273271</v>
      </c>
      <c r="C17">
        <v>0.71656950668650254</v>
      </c>
      <c r="D17">
        <f t="shared" si="4"/>
        <v>0.33236382656287744</v>
      </c>
      <c r="E17">
        <f t="shared" si="0"/>
        <v>0.13979441293740283</v>
      </c>
      <c r="F17">
        <f t="shared" si="1"/>
        <v>0.28944708418779935</v>
      </c>
      <c r="G17">
        <f t="shared" si="2"/>
        <v>0.13979441293740283</v>
      </c>
      <c r="H17">
        <f t="shared" si="3"/>
        <v>2</v>
      </c>
    </row>
    <row r="18" spans="1:8" x14ac:dyDescent="0.25">
      <c r="A18" t="s">
        <v>19</v>
      </c>
      <c r="B18">
        <v>0.44385919730399842</v>
      </c>
      <c r="C18">
        <v>0.75791340805158081</v>
      </c>
      <c r="D18">
        <f t="shared" si="4"/>
        <v>0.21111264736644339</v>
      </c>
      <c r="E18">
        <f t="shared" si="0"/>
        <v>0.1638910419474357</v>
      </c>
      <c r="F18">
        <f t="shared" si="1"/>
        <v>0.16171342395850888</v>
      </c>
      <c r="G18">
        <f t="shared" si="2"/>
        <v>0.16171342395850888</v>
      </c>
      <c r="H18">
        <f t="shared" si="3"/>
        <v>3</v>
      </c>
    </row>
    <row r="19" spans="1:8" x14ac:dyDescent="0.25">
      <c r="A19" t="s">
        <v>20</v>
      </c>
      <c r="B19">
        <v>0.35184598510807119</v>
      </c>
      <c r="C19">
        <v>1</v>
      </c>
      <c r="D19">
        <f t="shared" si="4"/>
        <v>0.26754516461147942</v>
      </c>
      <c r="E19">
        <f t="shared" si="0"/>
        <v>0.40288808514302349</v>
      </c>
      <c r="F19">
        <f t="shared" si="1"/>
        <v>0.31871682589248973</v>
      </c>
      <c r="G19">
        <f t="shared" si="2"/>
        <v>0.26754516461147942</v>
      </c>
      <c r="H19">
        <f t="shared" si="3"/>
        <v>1</v>
      </c>
    </row>
    <row r="20" spans="1:8" x14ac:dyDescent="0.25">
      <c r="A20" t="s">
        <v>21</v>
      </c>
      <c r="B20">
        <v>0.30034918829752327</v>
      </c>
      <c r="C20">
        <v>0.88619437665971879</v>
      </c>
      <c r="D20">
        <f t="shared" si="4"/>
        <v>0.29996867201387356</v>
      </c>
      <c r="E20">
        <f t="shared" si="0"/>
        <v>0.30304703513581432</v>
      </c>
      <c r="F20">
        <f t="shared" si="1"/>
        <v>0.31180134624743139</v>
      </c>
      <c r="G20">
        <f t="shared" si="2"/>
        <v>0.29996867201387356</v>
      </c>
      <c r="H20">
        <f t="shared" si="3"/>
        <v>1</v>
      </c>
    </row>
    <row r="21" spans="1:8" x14ac:dyDescent="0.25">
      <c r="A21" t="s">
        <v>22</v>
      </c>
      <c r="B21">
        <v>0.39307652237458518</v>
      </c>
      <c r="C21">
        <v>0.55017720117507141</v>
      </c>
      <c r="D21">
        <f t="shared" si="4"/>
        <v>0.4064398063309031</v>
      </c>
      <c r="E21">
        <f t="shared" si="0"/>
        <v>5.0301548934192107E-2</v>
      </c>
      <c r="F21">
        <f t="shared" si="1"/>
        <v>0.32438982167342473</v>
      </c>
      <c r="G21">
        <f t="shared" si="2"/>
        <v>5.0301548934192107E-2</v>
      </c>
      <c r="H21">
        <f t="shared" si="3"/>
        <v>2</v>
      </c>
    </row>
    <row r="22" spans="1:8" x14ac:dyDescent="0.25">
      <c r="A22" t="s">
        <v>23</v>
      </c>
      <c r="B22">
        <v>0.29230407975955491</v>
      </c>
      <c r="C22">
        <v>0.88307860480521549</v>
      </c>
      <c r="D22">
        <f t="shared" si="4"/>
        <v>0.30816085563866219</v>
      </c>
      <c r="E22">
        <f t="shared" si="0"/>
        <v>0.30287275832419086</v>
      </c>
      <c r="F22">
        <f t="shared" si="1"/>
        <v>0.3187143453141002</v>
      </c>
      <c r="G22">
        <f t="shared" si="2"/>
        <v>0.30287275832419086</v>
      </c>
      <c r="H22">
        <f t="shared" si="3"/>
        <v>2</v>
      </c>
    </row>
    <row r="23" spans="1:8" x14ac:dyDescent="0.25">
      <c r="A23" t="s">
        <v>24</v>
      </c>
      <c r="B23">
        <v>0.36281200662901247</v>
      </c>
      <c r="C23">
        <v>0.76996485312709184</v>
      </c>
      <c r="D23">
        <f t="shared" si="4"/>
        <v>0.2704945168050813</v>
      </c>
      <c r="E23">
        <f t="shared" si="0"/>
        <v>0.17398562627261632</v>
      </c>
      <c r="F23">
        <f t="shared" si="1"/>
        <v>0.23908210775177799</v>
      </c>
      <c r="G23">
        <f t="shared" si="2"/>
        <v>0.17398562627261632</v>
      </c>
      <c r="H23">
        <f t="shared" si="3"/>
        <v>2</v>
      </c>
    </row>
    <row r="24" spans="1:8" x14ac:dyDescent="0.25">
      <c r="A24" t="s">
        <v>25</v>
      </c>
      <c r="B24">
        <v>0.25586786306229647</v>
      </c>
      <c r="C24">
        <v>0.72341570387724696</v>
      </c>
      <c r="D24">
        <f t="shared" si="4"/>
        <v>0.38679315054752256</v>
      </c>
      <c r="E24">
        <f t="shared" si="0"/>
        <v>0.18975117618013662</v>
      </c>
      <c r="F24">
        <f t="shared" si="1"/>
        <v>0.35255082199014631</v>
      </c>
      <c r="G24">
        <f t="shared" si="2"/>
        <v>0.18975117618013662</v>
      </c>
      <c r="H24">
        <f t="shared" si="3"/>
        <v>2</v>
      </c>
    </row>
    <row r="25" spans="1:8" x14ac:dyDescent="0.25">
      <c r="A25" t="s">
        <v>26</v>
      </c>
      <c r="B25">
        <v>0.28701034564709049</v>
      </c>
      <c r="C25">
        <v>0.92895028329389606</v>
      </c>
      <c r="D25">
        <f t="shared" si="4"/>
        <v>0.31432569515512188</v>
      </c>
      <c r="E25">
        <f t="shared" si="0"/>
        <v>0.3478145351619516</v>
      </c>
      <c r="F25">
        <f t="shared" si="1"/>
        <v>0.33851248026258912</v>
      </c>
      <c r="G25">
        <f t="shared" si="2"/>
        <v>0.31432569515512188</v>
      </c>
      <c r="H25">
        <f t="shared" si="3"/>
        <v>1</v>
      </c>
    </row>
    <row r="26" spans="1:8" x14ac:dyDescent="0.25">
      <c r="A26" t="s">
        <v>27</v>
      </c>
      <c r="B26">
        <v>0.36222009421955248</v>
      </c>
      <c r="C26">
        <v>0.9958333648522224</v>
      </c>
      <c r="D26">
        <f t="shared" si="4"/>
        <v>0.25636559326839797</v>
      </c>
      <c r="E26">
        <f t="shared" si="0"/>
        <v>0.39763220947379518</v>
      </c>
      <c r="F26">
        <f t="shared" si="1"/>
        <v>0.30804218928955518</v>
      </c>
      <c r="G26">
        <f t="shared" si="2"/>
        <v>0.25636559326839797</v>
      </c>
      <c r="H26">
        <f t="shared" si="3"/>
        <v>1</v>
      </c>
    </row>
    <row r="27" spans="1:8" x14ac:dyDescent="0.25">
      <c r="A27" t="s">
        <v>28</v>
      </c>
      <c r="B27">
        <v>0.3889300868631238</v>
      </c>
      <c r="C27">
        <v>0.97992787606959586</v>
      </c>
      <c r="D27">
        <f t="shared" si="4"/>
        <v>0.22569664065866182</v>
      </c>
      <c r="E27">
        <f t="shared" si="0"/>
        <v>0.38008911322427036</v>
      </c>
      <c r="F27">
        <f t="shared" si="1"/>
        <v>0.27735275159717504</v>
      </c>
      <c r="G27">
        <f t="shared" si="2"/>
        <v>0.22569664065866182</v>
      </c>
      <c r="H27">
        <f t="shared" si="3"/>
        <v>1</v>
      </c>
    </row>
    <row r="28" spans="1:8" x14ac:dyDescent="0.25">
      <c r="A28" t="s">
        <v>29</v>
      </c>
      <c r="B28">
        <v>0.36096287502973529</v>
      </c>
      <c r="C28">
        <v>0.69752917094853206</v>
      </c>
      <c r="D28">
        <f t="shared" si="4"/>
        <v>0.3132621645376899</v>
      </c>
      <c r="E28">
        <f t="shared" si="0"/>
        <v>0.10505158881165036</v>
      </c>
      <c r="F28">
        <f t="shared" si="1"/>
        <v>0.26007502363845919</v>
      </c>
      <c r="G28">
        <f t="shared" si="2"/>
        <v>0.10505158881165036</v>
      </c>
      <c r="H28">
        <f t="shared" si="3"/>
        <v>2</v>
      </c>
    </row>
    <row r="29" spans="1:8" x14ac:dyDescent="0.25">
      <c r="A29" t="s">
        <v>30</v>
      </c>
      <c r="B29">
        <v>0.34680826894082339</v>
      </c>
      <c r="C29">
        <v>0.78206628850575755</v>
      </c>
      <c r="D29">
        <f t="shared" si="4"/>
        <v>0.27931060306323791</v>
      </c>
      <c r="E29">
        <f t="shared" si="0"/>
        <v>0.18967734093278915</v>
      </c>
      <c r="F29">
        <f t="shared" si="1"/>
        <v>0.25382606384038092</v>
      </c>
      <c r="G29">
        <f t="shared" si="2"/>
        <v>0.18967734093278915</v>
      </c>
      <c r="H29">
        <f t="shared" si="3"/>
        <v>2</v>
      </c>
    </row>
    <row r="30" spans="1:8" x14ac:dyDescent="0.25">
      <c r="A30" t="s">
        <v>31</v>
      </c>
      <c r="B30">
        <v>0.33766228695221989</v>
      </c>
      <c r="C30">
        <v>0.88422374655873059</v>
      </c>
      <c r="D30">
        <f t="shared" si="4"/>
        <v>0.26281165472593215</v>
      </c>
      <c r="E30">
        <f t="shared" si="0"/>
        <v>0.2909796016491687</v>
      </c>
      <c r="F30">
        <f t="shared" si="1"/>
        <v>0.27552625132921305</v>
      </c>
      <c r="G30">
        <f t="shared" si="2"/>
        <v>0.26281165472593215</v>
      </c>
      <c r="H30">
        <f t="shared" si="3"/>
        <v>1</v>
      </c>
    </row>
    <row r="31" spans="1:8" x14ac:dyDescent="0.25">
      <c r="A31" t="s">
        <v>32</v>
      </c>
      <c r="B31">
        <v>0.27959632742469093</v>
      </c>
      <c r="C31">
        <v>0.98698825313205851</v>
      </c>
      <c r="D31">
        <f t="shared" si="4"/>
        <v>0.33200221321960027</v>
      </c>
      <c r="E31">
        <f t="shared" si="0"/>
        <v>0.40528625986063782</v>
      </c>
      <c r="F31">
        <f t="shared" si="1"/>
        <v>0.37097590246419593</v>
      </c>
      <c r="G31">
        <f t="shared" si="2"/>
        <v>0.33200221321960027</v>
      </c>
      <c r="H31">
        <f t="shared" si="3"/>
        <v>1</v>
      </c>
    </row>
    <row r="32" spans="1:8" x14ac:dyDescent="0.25">
      <c r="A32" t="s">
        <v>33</v>
      </c>
      <c r="B32">
        <v>0.79841276864612931</v>
      </c>
      <c r="C32">
        <v>0.45775544803503421</v>
      </c>
      <c r="D32">
        <f t="shared" si="4"/>
        <v>0.48471421529032521</v>
      </c>
      <c r="E32">
        <f t="shared" si="0"/>
        <v>0.42304402464044799</v>
      </c>
      <c r="F32">
        <f t="shared" si="1"/>
        <v>0.39559949457945803</v>
      </c>
      <c r="G32">
        <f t="shared" si="2"/>
        <v>0.39559949457945803</v>
      </c>
      <c r="H32">
        <f t="shared" si="3"/>
        <v>3</v>
      </c>
    </row>
    <row r="33" spans="1:8" x14ac:dyDescent="0.25">
      <c r="A33" t="s">
        <v>34</v>
      </c>
      <c r="B33">
        <v>0.82736296476939752</v>
      </c>
      <c r="C33">
        <v>0.36398645624258408</v>
      </c>
      <c r="D33">
        <f t="shared" si="4"/>
        <v>0.5822408752742404</v>
      </c>
      <c r="E33">
        <f t="shared" si="0"/>
        <v>0.48820231102835121</v>
      </c>
      <c r="F33">
        <f t="shared" si="1"/>
        <v>0.49173339126871424</v>
      </c>
      <c r="G33">
        <f t="shared" si="2"/>
        <v>0.48820231102835121</v>
      </c>
      <c r="H33">
        <f t="shared" si="3"/>
        <v>2</v>
      </c>
    </row>
    <row r="34" spans="1:8" x14ac:dyDescent="0.25">
      <c r="A34" t="s">
        <v>35</v>
      </c>
      <c r="B34">
        <v>0.73655422596053821</v>
      </c>
      <c r="C34">
        <v>0.31472515689207248</v>
      </c>
      <c r="D34">
        <f t="shared" si="4"/>
        <v>0.60099392559550135</v>
      </c>
      <c r="E34">
        <f t="shared" si="0"/>
        <v>0.44119211588847512</v>
      </c>
      <c r="F34">
        <f t="shared" si="1"/>
        <v>0.5041217412303356</v>
      </c>
      <c r="G34">
        <f t="shared" si="2"/>
        <v>0.44119211588847512</v>
      </c>
      <c r="H34">
        <f t="shared" si="3"/>
        <v>2</v>
      </c>
    </row>
    <row r="35" spans="1:8" x14ac:dyDescent="0.25">
      <c r="A35" t="s">
        <v>36</v>
      </c>
      <c r="B35">
        <v>0.72768994447442481</v>
      </c>
      <c r="C35">
        <v>0.36458793464623851</v>
      </c>
      <c r="D35">
        <f t="shared" si="4"/>
        <v>0.55042783509399507</v>
      </c>
      <c r="E35">
        <f t="shared" si="0"/>
        <v>0.40348425027970453</v>
      </c>
      <c r="F35">
        <f t="shared" si="1"/>
        <v>0.45374925738287442</v>
      </c>
      <c r="G35">
        <f t="shared" si="2"/>
        <v>0.40348425027970453</v>
      </c>
      <c r="H35">
        <f t="shared" si="3"/>
        <v>2</v>
      </c>
    </row>
    <row r="36" spans="1:8" x14ac:dyDescent="0.25">
      <c r="A36" t="s">
        <v>37</v>
      </c>
      <c r="B36">
        <v>0.9258166042281234</v>
      </c>
      <c r="C36">
        <v>9.9261396726196924E-2</v>
      </c>
      <c r="D36">
        <f t="shared" si="4"/>
        <v>0.86448757675493904</v>
      </c>
      <c r="E36">
        <f t="shared" si="0"/>
        <v>0.72610071621683037</v>
      </c>
      <c r="F36">
        <f t="shared" si="1"/>
        <v>0.77278137251674617</v>
      </c>
      <c r="G36">
        <f t="shared" si="2"/>
        <v>0.72610071621683037</v>
      </c>
      <c r="H36">
        <f t="shared" si="3"/>
        <v>2</v>
      </c>
    </row>
    <row r="37" spans="1:8" x14ac:dyDescent="0.25">
      <c r="A37" t="s">
        <v>38</v>
      </c>
      <c r="B37">
        <v>0.97944459222595448</v>
      </c>
      <c r="C37">
        <v>0.32484851718611141</v>
      </c>
      <c r="D37">
        <f t="shared" si="4"/>
        <v>0.68904094707973329</v>
      </c>
      <c r="E37">
        <f t="shared" si="0"/>
        <v>0.64145488847976229</v>
      </c>
      <c r="F37">
        <f t="shared" si="1"/>
        <v>0.60806835979991425</v>
      </c>
      <c r="G37">
        <f t="shared" si="2"/>
        <v>0.60806835979991425</v>
      </c>
      <c r="H37">
        <f t="shared" si="3"/>
        <v>3</v>
      </c>
    </row>
    <row r="38" spans="1:8" x14ac:dyDescent="0.25">
      <c r="A38" t="s">
        <v>39</v>
      </c>
      <c r="B38">
        <v>0.83857245565109129</v>
      </c>
      <c r="C38">
        <v>0.39844734298924039</v>
      </c>
      <c r="D38">
        <f t="shared" si="4"/>
        <v>0.55540245259626331</v>
      </c>
      <c r="E38">
        <f t="shared" si="0"/>
        <v>0.48266890556977599</v>
      </c>
      <c r="F38">
        <f t="shared" si="1"/>
        <v>0.46707745925894639</v>
      </c>
      <c r="G38">
        <f t="shared" si="2"/>
        <v>0.46707745925894639</v>
      </c>
      <c r="H38">
        <f t="shared" si="3"/>
        <v>3</v>
      </c>
    </row>
    <row r="39" spans="1:8" x14ac:dyDescent="0.25">
      <c r="A39" t="s">
        <v>40</v>
      </c>
      <c r="B39">
        <v>0.94465614352272609</v>
      </c>
      <c r="C39">
        <v>0.54146125238734955</v>
      </c>
      <c r="D39">
        <f t="shared" si="4"/>
        <v>0.49733076599744547</v>
      </c>
      <c r="E39">
        <f t="shared" si="0"/>
        <v>0.54779293501204085</v>
      </c>
      <c r="F39">
        <f t="shared" si="1"/>
        <v>0.43084816500140249</v>
      </c>
      <c r="G39">
        <f t="shared" si="2"/>
        <v>0.43084816500140249</v>
      </c>
      <c r="H39">
        <f t="shared" si="3"/>
        <v>3</v>
      </c>
    </row>
    <row r="40" spans="1:8" x14ac:dyDescent="0.25">
      <c r="A40" t="s">
        <v>41</v>
      </c>
      <c r="B40">
        <v>0.88134413621872365</v>
      </c>
      <c r="C40">
        <v>0.28674678585363289</v>
      </c>
      <c r="D40">
        <f t="shared" si="4"/>
        <v>0.67471032869336589</v>
      </c>
      <c r="E40">
        <f t="shared" si="0"/>
        <v>0.57429935891064587</v>
      </c>
      <c r="F40">
        <f t="shared" si="1"/>
        <v>0.58530623165675966</v>
      </c>
      <c r="G40">
        <f t="shared" si="2"/>
        <v>0.57429935891064587</v>
      </c>
      <c r="H40">
        <f t="shared" si="3"/>
        <v>2</v>
      </c>
    </row>
    <row r="41" spans="1:8" x14ac:dyDescent="0.25">
      <c r="A41" t="s">
        <v>42</v>
      </c>
      <c r="B41">
        <v>0.78204511799438348</v>
      </c>
      <c r="C41">
        <v>0.24971371399745459</v>
      </c>
      <c r="D41">
        <f t="shared" si="4"/>
        <v>0.67528710838322192</v>
      </c>
      <c r="E41">
        <f t="shared" si="0"/>
        <v>0.51832321416737592</v>
      </c>
      <c r="F41">
        <f t="shared" si="1"/>
        <v>0.57961661600411729</v>
      </c>
      <c r="G41">
        <f t="shared" si="2"/>
        <v>0.51832321416737592</v>
      </c>
      <c r="H41">
        <f t="shared" si="3"/>
        <v>2</v>
      </c>
    </row>
    <row r="42" spans="1:8" x14ac:dyDescent="0.25">
      <c r="A42" t="s">
        <v>43</v>
      </c>
      <c r="B42">
        <v>0.88132042299582591</v>
      </c>
      <c r="C42">
        <v>0.28885389926090421</v>
      </c>
      <c r="D42">
        <f t="shared" si="4"/>
        <v>0.67278580309274616</v>
      </c>
      <c r="E42">
        <f t="shared" si="0"/>
        <v>0.57313283416501648</v>
      </c>
      <c r="F42">
        <f t="shared" si="1"/>
        <v>0.58344795542990147</v>
      </c>
      <c r="G42">
        <f t="shared" si="2"/>
        <v>0.57313283416501648</v>
      </c>
      <c r="H42">
        <f t="shared" si="3"/>
        <v>2</v>
      </c>
    </row>
    <row r="43" spans="1:8" x14ac:dyDescent="0.25">
      <c r="A43" t="s">
        <v>44</v>
      </c>
      <c r="B43">
        <v>0.99737567153478013</v>
      </c>
      <c r="C43">
        <v>0.46968618167800807</v>
      </c>
      <c r="D43">
        <f t="shared" si="4"/>
        <v>0.58572809951936722</v>
      </c>
      <c r="E43">
        <f t="shared" si="0"/>
        <v>0.61142406248632919</v>
      </c>
      <c r="F43">
        <f t="shared" si="1"/>
        <v>0.5167345961924471</v>
      </c>
      <c r="G43">
        <f t="shared" si="2"/>
        <v>0.5167345961924471</v>
      </c>
      <c r="H43">
        <f t="shared" si="3"/>
        <v>3</v>
      </c>
    </row>
    <row r="44" spans="1:8" x14ac:dyDescent="0.25">
      <c r="A44" t="s">
        <v>45</v>
      </c>
      <c r="B44">
        <v>0.84214138859120991</v>
      </c>
      <c r="C44">
        <v>0.3948283649524067</v>
      </c>
      <c r="D44">
        <f t="shared" si="4"/>
        <v>0.56020606291394071</v>
      </c>
      <c r="E44">
        <f t="shared" si="0"/>
        <v>0.48742630964430517</v>
      </c>
      <c r="F44">
        <f t="shared" si="1"/>
        <v>0.4720132476064835</v>
      </c>
      <c r="G44">
        <f t="shared" si="2"/>
        <v>0.4720132476064835</v>
      </c>
      <c r="H44">
        <f t="shared" si="3"/>
        <v>3</v>
      </c>
    </row>
    <row r="45" spans="1:8" x14ac:dyDescent="0.25">
      <c r="A45" t="s">
        <v>46</v>
      </c>
      <c r="B45">
        <v>1</v>
      </c>
      <c r="C45">
        <v>0.28528064121831692</v>
      </c>
      <c r="D45">
        <f t="shared" si="4"/>
        <v>0.7334029520399844</v>
      </c>
      <c r="E45">
        <f t="shared" si="0"/>
        <v>0.67753101389674686</v>
      </c>
      <c r="F45">
        <f t="shared" si="1"/>
        <v>0.6518711669529702</v>
      </c>
      <c r="G45">
        <f t="shared" si="2"/>
        <v>0.6518711669529702</v>
      </c>
      <c r="H45">
        <f t="shared" si="3"/>
        <v>3</v>
      </c>
    </row>
    <row r="46" spans="1:8" x14ac:dyDescent="0.25">
      <c r="A46" t="s">
        <v>47</v>
      </c>
      <c r="B46">
        <v>0.58728253254158669</v>
      </c>
      <c r="C46">
        <v>0.41837300893089052</v>
      </c>
      <c r="D46">
        <f t="shared" si="4"/>
        <v>0.48179486558580081</v>
      </c>
      <c r="E46">
        <f t="shared" si="0"/>
        <v>0.26088907773229764</v>
      </c>
      <c r="F46">
        <f t="shared" si="1"/>
        <v>0.38183883287457548</v>
      </c>
      <c r="G46">
        <f t="shared" si="2"/>
        <v>0.26088907773229764</v>
      </c>
      <c r="H46">
        <f t="shared" si="3"/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workbookViewId="0">
      <selection activeCell="K3" sqref="K3:L5"/>
    </sheetView>
  </sheetViews>
  <sheetFormatPr baseColWidth="10" defaultColWidth="9.140625" defaultRowHeight="15" x14ac:dyDescent="0.25"/>
  <cols>
    <col min="1" max="12" width="16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 t="s">
        <v>56</v>
      </c>
      <c r="K1" s="1"/>
      <c r="L1" s="1"/>
    </row>
    <row r="2" spans="1:12" x14ac:dyDescent="0.25">
      <c r="A2" t="s">
        <v>3</v>
      </c>
      <c r="B2">
        <v>7.1311260124248488E-2</v>
      </c>
      <c r="C2">
        <v>6.8782292312219717E-2</v>
      </c>
      <c r="D2">
        <f t="shared" ref="D2:D46" si="0">SQRT((B2-$K$3)^2 + (C2-$L$3)^2)</f>
        <v>0.91996864040151516</v>
      </c>
      <c r="E2">
        <f t="shared" ref="E2:E46" si="1">SQRT((B2-$K$4)^2 + (C2-$L$4)^2)</f>
        <v>0.3324325055169145</v>
      </c>
      <c r="F2">
        <f t="shared" ref="F2:F46" si="2">SQRT((B2-$K$5)^2 + (C2-$L$5)^2)</f>
        <v>0.87364982731941465</v>
      </c>
      <c r="G2">
        <f t="shared" ref="G2:G46" si="3">MIN(D2:F2)</f>
        <v>0.3324325055169145</v>
      </c>
      <c r="H2">
        <f t="shared" ref="H2:H46" si="4">MATCH(G2, D2:F2, 0)</f>
        <v>2</v>
      </c>
      <c r="K2" t="s">
        <v>57</v>
      </c>
      <c r="L2" t="s">
        <v>58</v>
      </c>
    </row>
    <row r="3" spans="1:12" x14ac:dyDescent="0.25">
      <c r="A3" t="s">
        <v>4</v>
      </c>
      <c r="B3">
        <v>5.252237258023932E-2</v>
      </c>
      <c r="C3">
        <v>3.2850889840169741E-2</v>
      </c>
      <c r="D3">
        <f t="shared" si="0"/>
        <v>0.95976336022098441</v>
      </c>
      <c r="E3">
        <f t="shared" si="1"/>
        <v>0.37073181546644307</v>
      </c>
      <c r="F3">
        <f t="shared" si="2"/>
        <v>0.9066670799630776</v>
      </c>
      <c r="G3">
        <f t="shared" si="3"/>
        <v>0.37073181546644307</v>
      </c>
      <c r="H3">
        <f t="shared" si="4"/>
        <v>2</v>
      </c>
      <c r="J3" t="s">
        <v>59</v>
      </c>
      <c r="K3">
        <f>AVERAGEIF('3_KMeans_Iteracion_1'!$H$2:$H$46, 1, '3_KMeans_Iteracion_1'!$B$2:$B$46)</f>
        <v>0.32965918778746744</v>
      </c>
      <c r="L3">
        <f>AVERAGEIF('3_KMeans_Iteracion_1'!$H$2:$H$46, 1, '3_KMeans_Iteracion_1'!$C$2:$C$46)</f>
        <v>0.95173112865231746</v>
      </c>
    </row>
    <row r="4" spans="1:12" x14ac:dyDescent="0.25">
      <c r="A4" t="s">
        <v>5</v>
      </c>
      <c r="B4">
        <v>7.577856247882081E-2</v>
      </c>
      <c r="C4">
        <v>0.13868701967718669</v>
      </c>
      <c r="D4">
        <f t="shared" si="0"/>
        <v>0.85176058552052869</v>
      </c>
      <c r="E4">
        <f t="shared" si="1"/>
        <v>0.28644198757970518</v>
      </c>
      <c r="F4">
        <f t="shared" si="2"/>
        <v>0.84103372439959112</v>
      </c>
      <c r="G4">
        <f t="shared" si="3"/>
        <v>0.28644198757970518</v>
      </c>
      <c r="H4">
        <f t="shared" si="4"/>
        <v>2</v>
      </c>
      <c r="J4" t="s">
        <v>60</v>
      </c>
      <c r="K4">
        <f>AVERAGEIF('3_KMeans_Iteracion_1'!$H$2:$H$46, 2, '3_KMeans_Iteracion_1'!$B$2:$B$46)</f>
        <v>0.31792940564735866</v>
      </c>
      <c r="L4">
        <f>AVERAGEIF('3_KMeans_Iteracion_1'!$H$2:$H$46, 2, '3_KMeans_Iteracion_1'!$C$2:$C$46)</f>
        <v>0.29169676250874027</v>
      </c>
    </row>
    <row r="5" spans="1:12" x14ac:dyDescent="0.25">
      <c r="A5" t="s">
        <v>6</v>
      </c>
      <c r="B5">
        <v>0.1016797398872379</v>
      </c>
      <c r="C5">
        <v>4.120937985874959E-2</v>
      </c>
      <c r="D5">
        <f t="shared" si="0"/>
        <v>0.93862904477274223</v>
      </c>
      <c r="E5">
        <f t="shared" si="1"/>
        <v>0.33091969842879831</v>
      </c>
      <c r="F5">
        <f t="shared" si="2"/>
        <v>0.85938621594694764</v>
      </c>
      <c r="G5">
        <f t="shared" si="3"/>
        <v>0.33091969842879831</v>
      </c>
      <c r="H5">
        <f t="shared" si="4"/>
        <v>2</v>
      </c>
      <c r="J5" t="s">
        <v>61</v>
      </c>
      <c r="K5">
        <f>AVERAGEIF('3_KMeans_Iteracion_1'!$H$2:$H$46, 3, '3_KMeans_Iteracion_1'!$B$2:$B$46)</f>
        <v>0.85555777718448611</v>
      </c>
      <c r="L5">
        <f>AVERAGEIF('3_KMeans_Iteracion_1'!$H$2:$H$46, 3, '3_KMeans_Iteracion_1'!$C$2:$C$46)</f>
        <v>0.453777644562256</v>
      </c>
    </row>
    <row r="6" spans="1:12" x14ac:dyDescent="0.25">
      <c r="A6" t="s">
        <v>7</v>
      </c>
      <c r="B6">
        <v>4.9685033757475072E-2</v>
      </c>
      <c r="C6">
        <v>9.9246289050407407E-4</v>
      </c>
      <c r="D6">
        <f t="shared" si="0"/>
        <v>0.99110521010605279</v>
      </c>
      <c r="E6">
        <f t="shared" si="1"/>
        <v>0.39555534741313686</v>
      </c>
      <c r="F6">
        <f t="shared" si="2"/>
        <v>0.92436210401557373</v>
      </c>
      <c r="G6">
        <f t="shared" si="3"/>
        <v>0.39555534741313686</v>
      </c>
      <c r="H6">
        <f t="shared" si="4"/>
        <v>2</v>
      </c>
    </row>
    <row r="7" spans="1:12" x14ac:dyDescent="0.25">
      <c r="A7" t="s">
        <v>8</v>
      </c>
      <c r="B7">
        <v>4.9685519556182549E-2</v>
      </c>
      <c r="C7">
        <v>0.23051269256075629</v>
      </c>
      <c r="D7">
        <f t="shared" si="0"/>
        <v>0.77365450135137137</v>
      </c>
      <c r="E7">
        <f t="shared" si="1"/>
        <v>0.27513319109241557</v>
      </c>
      <c r="F7">
        <f t="shared" si="2"/>
        <v>0.83622803971594428</v>
      </c>
      <c r="G7">
        <f t="shared" si="3"/>
        <v>0.27513319109241557</v>
      </c>
      <c r="H7">
        <f t="shared" si="4"/>
        <v>2</v>
      </c>
    </row>
    <row r="8" spans="1:12" x14ac:dyDescent="0.25">
      <c r="A8" t="s">
        <v>9</v>
      </c>
      <c r="B8">
        <v>0.1033421825944741</v>
      </c>
      <c r="C8">
        <v>9.5619474409061003E-2</v>
      </c>
      <c r="D8">
        <f t="shared" si="0"/>
        <v>0.88552049743111561</v>
      </c>
      <c r="E8">
        <f t="shared" si="1"/>
        <v>0.29067848081010927</v>
      </c>
      <c r="F8">
        <f t="shared" si="2"/>
        <v>0.83312998721201381</v>
      </c>
      <c r="G8">
        <f t="shared" si="3"/>
        <v>0.29067848081010927</v>
      </c>
      <c r="H8">
        <f t="shared" si="4"/>
        <v>2</v>
      </c>
    </row>
    <row r="9" spans="1:12" x14ac:dyDescent="0.25">
      <c r="A9" t="s">
        <v>10</v>
      </c>
      <c r="B9">
        <v>7.9321828715153878E-2</v>
      </c>
      <c r="C9">
        <v>0.1190108674520996</v>
      </c>
      <c r="D9">
        <f t="shared" si="0"/>
        <v>0.86953540857210609</v>
      </c>
      <c r="E9">
        <f t="shared" si="1"/>
        <v>0.29454030984055674</v>
      </c>
      <c r="F9">
        <f t="shared" si="2"/>
        <v>0.84534669973496968</v>
      </c>
      <c r="G9">
        <f t="shared" si="3"/>
        <v>0.29454030984055674</v>
      </c>
      <c r="H9">
        <f t="shared" si="4"/>
        <v>2</v>
      </c>
    </row>
    <row r="10" spans="1:12" x14ac:dyDescent="0.25">
      <c r="A10" t="s">
        <v>11</v>
      </c>
      <c r="B10">
        <v>4.2721931328920243E-2</v>
      </c>
      <c r="C10">
        <v>0</v>
      </c>
      <c r="D10">
        <f t="shared" si="0"/>
        <v>0.99404483318901271</v>
      </c>
      <c r="E10">
        <f t="shared" si="1"/>
        <v>0.4010313643330336</v>
      </c>
      <c r="F10">
        <f t="shared" si="2"/>
        <v>0.93092226475264972</v>
      </c>
      <c r="G10">
        <f t="shared" si="3"/>
        <v>0.4010313643330336</v>
      </c>
      <c r="H10">
        <f t="shared" si="4"/>
        <v>2</v>
      </c>
    </row>
    <row r="11" spans="1:12" x14ac:dyDescent="0.25">
      <c r="A11" t="s">
        <v>12</v>
      </c>
      <c r="B11">
        <v>7.2667831007386094E-2</v>
      </c>
      <c r="C11">
        <v>7.0210222388564031E-2</v>
      </c>
      <c r="D11">
        <f t="shared" si="0"/>
        <v>0.91821765700716962</v>
      </c>
      <c r="E11">
        <f t="shared" si="1"/>
        <v>0.33046864820930483</v>
      </c>
      <c r="F11">
        <f t="shared" si="2"/>
        <v>0.87180309426966007</v>
      </c>
      <c r="G11">
        <f t="shared" si="3"/>
        <v>0.33046864820930483</v>
      </c>
      <c r="H11">
        <f t="shared" si="4"/>
        <v>2</v>
      </c>
    </row>
    <row r="12" spans="1:12" x14ac:dyDescent="0.25">
      <c r="A12" t="s">
        <v>13</v>
      </c>
      <c r="B12">
        <v>4.2901147686920209E-2</v>
      </c>
      <c r="C12">
        <v>0.12247162273543701</v>
      </c>
      <c r="D12">
        <f t="shared" si="0"/>
        <v>0.87744031233800501</v>
      </c>
      <c r="E12">
        <f t="shared" si="1"/>
        <v>0.3229205639287277</v>
      </c>
      <c r="F12">
        <f t="shared" si="2"/>
        <v>0.87759585092743952</v>
      </c>
      <c r="G12">
        <f t="shared" si="3"/>
        <v>0.3229205639287277</v>
      </c>
      <c r="H12">
        <f t="shared" si="4"/>
        <v>2</v>
      </c>
    </row>
    <row r="13" spans="1:12" x14ac:dyDescent="0.25">
      <c r="A13" t="s">
        <v>14</v>
      </c>
      <c r="B13">
        <v>4.2832734263934018E-2</v>
      </c>
      <c r="C13">
        <v>2.1832264894016191E-2</v>
      </c>
      <c r="D13">
        <f t="shared" si="0"/>
        <v>0.97312964771394528</v>
      </c>
      <c r="E13">
        <f t="shared" si="1"/>
        <v>0.38536349811455595</v>
      </c>
      <c r="F13">
        <f t="shared" si="2"/>
        <v>0.92037970773314703</v>
      </c>
      <c r="G13">
        <f t="shared" si="3"/>
        <v>0.38536349811455595</v>
      </c>
      <c r="H13">
        <f t="shared" si="4"/>
        <v>2</v>
      </c>
    </row>
    <row r="14" spans="1:12" x14ac:dyDescent="0.25">
      <c r="A14" t="s">
        <v>15</v>
      </c>
      <c r="B14">
        <v>6.3773202067992751E-2</v>
      </c>
      <c r="C14">
        <v>0.1435877870291809</v>
      </c>
      <c r="D14">
        <f t="shared" si="0"/>
        <v>0.85075908341423323</v>
      </c>
      <c r="E14">
        <f t="shared" si="1"/>
        <v>0.29416261563203577</v>
      </c>
      <c r="F14">
        <f t="shared" si="2"/>
        <v>0.85037671717233387</v>
      </c>
      <c r="G14">
        <f t="shared" si="3"/>
        <v>0.29416261563203577</v>
      </c>
      <c r="H14">
        <f t="shared" si="4"/>
        <v>2</v>
      </c>
    </row>
    <row r="15" spans="1:12" x14ac:dyDescent="0.25">
      <c r="A15" t="s">
        <v>16</v>
      </c>
      <c r="B15">
        <v>0</v>
      </c>
      <c r="C15">
        <v>6.5723740338944334E-2</v>
      </c>
      <c r="D15">
        <f t="shared" si="0"/>
        <v>0.94534875693501441</v>
      </c>
      <c r="E15">
        <f t="shared" si="1"/>
        <v>0.39005501371451928</v>
      </c>
      <c r="F15">
        <f t="shared" si="2"/>
        <v>0.93944927626978025</v>
      </c>
      <c r="G15">
        <f t="shared" si="3"/>
        <v>0.39005501371451928</v>
      </c>
      <c r="H15">
        <f t="shared" si="4"/>
        <v>2</v>
      </c>
    </row>
    <row r="16" spans="1:12" x14ac:dyDescent="0.25">
      <c r="A16" t="s">
        <v>17</v>
      </c>
      <c r="B16">
        <v>5.5736067200314347E-3</v>
      </c>
      <c r="C16">
        <v>9.0362477199927044E-2</v>
      </c>
      <c r="D16">
        <f t="shared" si="0"/>
        <v>0.92031919330237122</v>
      </c>
      <c r="E16">
        <f t="shared" si="1"/>
        <v>0.3716202894949891</v>
      </c>
      <c r="F16">
        <f t="shared" si="2"/>
        <v>0.9244153146227817</v>
      </c>
      <c r="G16">
        <f t="shared" si="3"/>
        <v>0.3716202894949891</v>
      </c>
      <c r="H16">
        <f t="shared" si="4"/>
        <v>2</v>
      </c>
    </row>
    <row r="17" spans="1:8" x14ac:dyDescent="0.25">
      <c r="A17" t="s">
        <v>18</v>
      </c>
      <c r="B17">
        <v>0.32283765167273271</v>
      </c>
      <c r="C17">
        <v>0.71656950668650254</v>
      </c>
      <c r="D17">
        <f t="shared" si="0"/>
        <v>0.2352605402539012</v>
      </c>
      <c r="E17">
        <f t="shared" si="1"/>
        <v>0.42490109393150288</v>
      </c>
      <c r="F17">
        <f t="shared" si="2"/>
        <v>0.59401203264242664</v>
      </c>
      <c r="G17">
        <f t="shared" si="3"/>
        <v>0.2352605402539012</v>
      </c>
      <c r="H17">
        <f t="shared" si="4"/>
        <v>1</v>
      </c>
    </row>
    <row r="18" spans="1:8" x14ac:dyDescent="0.25">
      <c r="A18" t="s">
        <v>19</v>
      </c>
      <c r="B18">
        <v>0.44385919730399842</v>
      </c>
      <c r="C18">
        <v>0.75791340805158081</v>
      </c>
      <c r="D18">
        <f t="shared" si="0"/>
        <v>0.22495988751873294</v>
      </c>
      <c r="E18">
        <f t="shared" si="1"/>
        <v>0.48292470739019278</v>
      </c>
      <c r="F18">
        <f t="shared" si="2"/>
        <v>0.51185377141215327</v>
      </c>
      <c r="G18">
        <f t="shared" si="3"/>
        <v>0.22495988751873294</v>
      </c>
      <c r="H18">
        <f t="shared" si="4"/>
        <v>1</v>
      </c>
    </row>
    <row r="19" spans="1:8" x14ac:dyDescent="0.25">
      <c r="A19" t="s">
        <v>20</v>
      </c>
      <c r="B19">
        <v>0.35184598510807119</v>
      </c>
      <c r="C19">
        <v>1</v>
      </c>
      <c r="D19">
        <f t="shared" si="0"/>
        <v>5.3123798024281715E-2</v>
      </c>
      <c r="E19">
        <f t="shared" si="1"/>
        <v>0.70911480777298297</v>
      </c>
      <c r="F19">
        <f t="shared" si="2"/>
        <v>0.74302384285888878</v>
      </c>
      <c r="G19">
        <f t="shared" si="3"/>
        <v>5.3123798024281715E-2</v>
      </c>
      <c r="H19">
        <f t="shared" si="4"/>
        <v>1</v>
      </c>
    </row>
    <row r="20" spans="1:8" x14ac:dyDescent="0.25">
      <c r="A20" t="s">
        <v>21</v>
      </c>
      <c r="B20">
        <v>0.30034918829752327</v>
      </c>
      <c r="C20">
        <v>0.88619437665971879</v>
      </c>
      <c r="D20">
        <f t="shared" si="0"/>
        <v>7.1792352878561616E-2</v>
      </c>
      <c r="E20">
        <f t="shared" si="1"/>
        <v>0.59475749450786519</v>
      </c>
      <c r="F20">
        <f t="shared" si="2"/>
        <v>0.70373347751240423</v>
      </c>
      <c r="G20">
        <f t="shared" si="3"/>
        <v>7.1792352878561616E-2</v>
      </c>
      <c r="H20">
        <f t="shared" si="4"/>
        <v>1</v>
      </c>
    </row>
    <row r="21" spans="1:8" x14ac:dyDescent="0.25">
      <c r="A21" t="s">
        <v>22</v>
      </c>
      <c r="B21">
        <v>0.39307652237458518</v>
      </c>
      <c r="C21">
        <v>0.55017720117507141</v>
      </c>
      <c r="D21">
        <f t="shared" si="0"/>
        <v>0.4065308290874578</v>
      </c>
      <c r="E21">
        <f t="shared" si="1"/>
        <v>0.26918251489566403</v>
      </c>
      <c r="F21">
        <f t="shared" si="2"/>
        <v>0.47242119508515695</v>
      </c>
      <c r="G21">
        <f t="shared" si="3"/>
        <v>0.26918251489566403</v>
      </c>
      <c r="H21">
        <f t="shared" si="4"/>
        <v>2</v>
      </c>
    </row>
    <row r="22" spans="1:8" x14ac:dyDescent="0.25">
      <c r="A22" t="s">
        <v>23</v>
      </c>
      <c r="B22">
        <v>0.29230407975955491</v>
      </c>
      <c r="C22">
        <v>0.88307860480521549</v>
      </c>
      <c r="D22">
        <f t="shared" si="0"/>
        <v>7.8157361306238585E-2</v>
      </c>
      <c r="E22">
        <f t="shared" si="1"/>
        <v>0.59193677088421293</v>
      </c>
      <c r="F22">
        <f t="shared" si="2"/>
        <v>0.70820480239008754</v>
      </c>
      <c r="G22">
        <f t="shared" si="3"/>
        <v>7.8157361306238585E-2</v>
      </c>
      <c r="H22">
        <f t="shared" si="4"/>
        <v>1</v>
      </c>
    </row>
    <row r="23" spans="1:8" x14ac:dyDescent="0.25">
      <c r="A23" t="s">
        <v>24</v>
      </c>
      <c r="B23">
        <v>0.36281200662901247</v>
      </c>
      <c r="C23">
        <v>0.76996485312709184</v>
      </c>
      <c r="D23">
        <f t="shared" si="0"/>
        <v>0.18476495424038764</v>
      </c>
      <c r="E23">
        <f t="shared" si="1"/>
        <v>0.48036945612164195</v>
      </c>
      <c r="F23">
        <f t="shared" si="2"/>
        <v>0.58546797116522986</v>
      </c>
      <c r="G23">
        <f t="shared" si="3"/>
        <v>0.18476495424038764</v>
      </c>
      <c r="H23">
        <f t="shared" si="4"/>
        <v>1</v>
      </c>
    </row>
    <row r="24" spans="1:8" x14ac:dyDescent="0.25">
      <c r="A24" t="s">
        <v>25</v>
      </c>
      <c r="B24">
        <v>0.25586786306229647</v>
      </c>
      <c r="C24">
        <v>0.72341570387724696</v>
      </c>
      <c r="D24">
        <f t="shared" si="0"/>
        <v>0.23994393677464845</v>
      </c>
      <c r="E24">
        <f t="shared" si="1"/>
        <v>0.4361569435471383</v>
      </c>
      <c r="F24">
        <f t="shared" si="2"/>
        <v>0.65752009561003821</v>
      </c>
      <c r="G24">
        <f t="shared" si="3"/>
        <v>0.23994393677464845</v>
      </c>
      <c r="H24">
        <f t="shared" si="4"/>
        <v>1</v>
      </c>
    </row>
    <row r="25" spans="1:8" x14ac:dyDescent="0.25">
      <c r="A25" t="s">
        <v>26</v>
      </c>
      <c r="B25">
        <v>0.28701034564709049</v>
      </c>
      <c r="C25">
        <v>0.92895028329389606</v>
      </c>
      <c r="D25">
        <f t="shared" si="0"/>
        <v>4.8351738863862001E-2</v>
      </c>
      <c r="E25">
        <f t="shared" si="1"/>
        <v>0.63800316458805839</v>
      </c>
      <c r="F25">
        <f t="shared" si="2"/>
        <v>0.74096910766033908</v>
      </c>
      <c r="G25">
        <f t="shared" si="3"/>
        <v>4.8351738863862001E-2</v>
      </c>
      <c r="H25">
        <f t="shared" si="4"/>
        <v>1</v>
      </c>
    </row>
    <row r="26" spans="1:8" x14ac:dyDescent="0.25">
      <c r="A26" t="s">
        <v>27</v>
      </c>
      <c r="B26">
        <v>0.36222009421955248</v>
      </c>
      <c r="C26">
        <v>0.9958333648522224</v>
      </c>
      <c r="D26">
        <f t="shared" si="0"/>
        <v>5.4819885675831195E-2</v>
      </c>
      <c r="E26">
        <f t="shared" si="1"/>
        <v>0.7055281850174534</v>
      </c>
      <c r="F26">
        <f t="shared" si="2"/>
        <v>0.73294370406756593</v>
      </c>
      <c r="G26">
        <f t="shared" si="3"/>
        <v>5.4819885675831195E-2</v>
      </c>
      <c r="H26">
        <f t="shared" si="4"/>
        <v>1</v>
      </c>
    </row>
    <row r="27" spans="1:8" x14ac:dyDescent="0.25">
      <c r="A27" t="s">
        <v>28</v>
      </c>
      <c r="B27">
        <v>0.3889300868631238</v>
      </c>
      <c r="C27">
        <v>0.97992787606959586</v>
      </c>
      <c r="D27">
        <f t="shared" si="0"/>
        <v>6.5636087955867978E-2</v>
      </c>
      <c r="E27">
        <f t="shared" si="1"/>
        <v>0.69188377810606172</v>
      </c>
      <c r="F27">
        <f t="shared" si="2"/>
        <v>0.70326059714011879</v>
      </c>
      <c r="G27">
        <f t="shared" si="3"/>
        <v>6.5636087955867978E-2</v>
      </c>
      <c r="H27">
        <f t="shared" si="4"/>
        <v>1</v>
      </c>
    </row>
    <row r="28" spans="1:8" x14ac:dyDescent="0.25">
      <c r="A28" t="s">
        <v>29</v>
      </c>
      <c r="B28">
        <v>0.36096287502973529</v>
      </c>
      <c r="C28">
        <v>0.69752917094853206</v>
      </c>
      <c r="D28">
        <f t="shared" si="0"/>
        <v>0.25612215080972361</v>
      </c>
      <c r="E28">
        <f t="shared" si="1"/>
        <v>0.4081076123121522</v>
      </c>
      <c r="F28">
        <f t="shared" si="2"/>
        <v>0.55139724686754377</v>
      </c>
      <c r="G28">
        <f t="shared" si="3"/>
        <v>0.25612215080972361</v>
      </c>
      <c r="H28">
        <f t="shared" si="4"/>
        <v>1</v>
      </c>
    </row>
    <row r="29" spans="1:8" x14ac:dyDescent="0.25">
      <c r="A29" t="s">
        <v>30</v>
      </c>
      <c r="B29">
        <v>0.34680826894082339</v>
      </c>
      <c r="C29">
        <v>0.78206628850575755</v>
      </c>
      <c r="D29">
        <f t="shared" si="0"/>
        <v>0.17052931996100296</v>
      </c>
      <c r="E29">
        <f t="shared" si="1"/>
        <v>0.49121915757802243</v>
      </c>
      <c r="F29">
        <f t="shared" si="2"/>
        <v>0.60547460382780038</v>
      </c>
      <c r="G29">
        <f t="shared" si="3"/>
        <v>0.17052931996100296</v>
      </c>
      <c r="H29">
        <f t="shared" si="4"/>
        <v>1</v>
      </c>
    </row>
    <row r="30" spans="1:8" x14ac:dyDescent="0.25">
      <c r="A30" t="s">
        <v>31</v>
      </c>
      <c r="B30">
        <v>0.33766228695221989</v>
      </c>
      <c r="C30">
        <v>0.88422374655873059</v>
      </c>
      <c r="D30">
        <f t="shared" si="0"/>
        <v>6.7980116455993167E-2</v>
      </c>
      <c r="E30">
        <f t="shared" si="1"/>
        <v>0.59285547432065533</v>
      </c>
      <c r="F30">
        <f t="shared" si="2"/>
        <v>0.67342377855766189</v>
      </c>
      <c r="G30">
        <f t="shared" si="3"/>
        <v>6.7980116455993167E-2</v>
      </c>
      <c r="H30">
        <f t="shared" si="4"/>
        <v>1</v>
      </c>
    </row>
    <row r="31" spans="1:8" x14ac:dyDescent="0.25">
      <c r="A31" t="s">
        <v>32</v>
      </c>
      <c r="B31">
        <v>0.27959632742469093</v>
      </c>
      <c r="C31">
        <v>0.98698825313205851</v>
      </c>
      <c r="D31">
        <f t="shared" si="0"/>
        <v>6.123197542365276E-2</v>
      </c>
      <c r="E31">
        <f t="shared" si="1"/>
        <v>0.69634738587806955</v>
      </c>
      <c r="F31">
        <f t="shared" si="2"/>
        <v>0.78488543412448686</v>
      </c>
      <c r="G31">
        <f t="shared" si="3"/>
        <v>6.123197542365276E-2</v>
      </c>
      <c r="H31">
        <f t="shared" si="4"/>
        <v>1</v>
      </c>
    </row>
    <row r="32" spans="1:8" x14ac:dyDescent="0.25">
      <c r="A32" t="s">
        <v>33</v>
      </c>
      <c r="B32">
        <v>0.79841276864612931</v>
      </c>
      <c r="C32">
        <v>0.45775544803503421</v>
      </c>
      <c r="D32">
        <f t="shared" si="0"/>
        <v>0.68098597093414948</v>
      </c>
      <c r="E32">
        <f t="shared" si="1"/>
        <v>0.50836969732403303</v>
      </c>
      <c r="F32">
        <f t="shared" si="2"/>
        <v>5.7283286579218877E-2</v>
      </c>
      <c r="G32">
        <f t="shared" si="3"/>
        <v>5.7283286579218877E-2</v>
      </c>
      <c r="H32">
        <f t="shared" si="4"/>
        <v>3</v>
      </c>
    </row>
    <row r="33" spans="1:8" x14ac:dyDescent="0.25">
      <c r="A33" t="s">
        <v>34</v>
      </c>
      <c r="B33">
        <v>0.82736296476939752</v>
      </c>
      <c r="C33">
        <v>0.36398645624258408</v>
      </c>
      <c r="D33">
        <f t="shared" si="0"/>
        <v>0.77016417052996144</v>
      </c>
      <c r="E33">
        <f t="shared" si="1"/>
        <v>0.51453702585905403</v>
      </c>
      <c r="F33">
        <f t="shared" si="2"/>
        <v>9.411378723110031E-2</v>
      </c>
      <c r="G33">
        <f t="shared" si="3"/>
        <v>9.411378723110031E-2</v>
      </c>
      <c r="H33">
        <f t="shared" si="4"/>
        <v>3</v>
      </c>
    </row>
    <row r="34" spans="1:8" x14ac:dyDescent="0.25">
      <c r="A34" t="s">
        <v>35</v>
      </c>
      <c r="B34">
        <v>0.73655422596053821</v>
      </c>
      <c r="C34">
        <v>0.31472515689207248</v>
      </c>
      <c r="D34">
        <f t="shared" si="0"/>
        <v>0.75587047842079313</v>
      </c>
      <c r="E34">
        <f t="shared" si="1"/>
        <v>0.41925773353644435</v>
      </c>
      <c r="F34">
        <f t="shared" si="2"/>
        <v>0.18302305737577804</v>
      </c>
      <c r="G34">
        <f t="shared" si="3"/>
        <v>0.18302305737577804</v>
      </c>
      <c r="H34">
        <f t="shared" si="4"/>
        <v>3</v>
      </c>
    </row>
    <row r="35" spans="1:8" x14ac:dyDescent="0.25">
      <c r="A35" t="s">
        <v>36</v>
      </c>
      <c r="B35">
        <v>0.72768994447442481</v>
      </c>
      <c r="C35">
        <v>0.36458793464623851</v>
      </c>
      <c r="D35">
        <f t="shared" si="0"/>
        <v>0.70934167615927657</v>
      </c>
      <c r="E35">
        <f t="shared" si="1"/>
        <v>0.41619325097294163</v>
      </c>
      <c r="F35">
        <f t="shared" si="2"/>
        <v>0.15590056766051744</v>
      </c>
      <c r="G35">
        <f t="shared" si="3"/>
        <v>0.15590056766051744</v>
      </c>
      <c r="H35">
        <f t="shared" si="4"/>
        <v>3</v>
      </c>
    </row>
    <row r="36" spans="1:8" x14ac:dyDescent="0.25">
      <c r="A36" t="s">
        <v>37</v>
      </c>
      <c r="B36">
        <v>0.9258166042281234</v>
      </c>
      <c r="C36">
        <v>9.9261396726196924E-2</v>
      </c>
      <c r="D36">
        <f t="shared" si="0"/>
        <v>1.0402443506346908</v>
      </c>
      <c r="E36">
        <f t="shared" si="1"/>
        <v>0.63761917803829538</v>
      </c>
      <c r="F36">
        <f t="shared" si="2"/>
        <v>0.36141122389503316</v>
      </c>
      <c r="G36">
        <f t="shared" si="3"/>
        <v>0.36141122389503316</v>
      </c>
      <c r="H36">
        <f t="shared" si="4"/>
        <v>3</v>
      </c>
    </row>
    <row r="37" spans="1:8" x14ac:dyDescent="0.25">
      <c r="A37" t="s">
        <v>38</v>
      </c>
      <c r="B37">
        <v>0.97944459222595448</v>
      </c>
      <c r="C37">
        <v>0.32484851718611141</v>
      </c>
      <c r="D37">
        <f t="shared" si="0"/>
        <v>0.90288586232146661</v>
      </c>
      <c r="E37">
        <f t="shared" si="1"/>
        <v>0.66234536377353992</v>
      </c>
      <c r="F37">
        <f t="shared" si="2"/>
        <v>0.17880341950615239</v>
      </c>
      <c r="G37">
        <f t="shared" si="3"/>
        <v>0.17880341950615239</v>
      </c>
      <c r="H37">
        <f t="shared" si="4"/>
        <v>3</v>
      </c>
    </row>
    <row r="38" spans="1:8" x14ac:dyDescent="0.25">
      <c r="A38" t="s">
        <v>39</v>
      </c>
      <c r="B38">
        <v>0.83857245565109129</v>
      </c>
      <c r="C38">
        <v>0.39844734298924039</v>
      </c>
      <c r="D38">
        <f t="shared" si="0"/>
        <v>0.75174175199020199</v>
      </c>
      <c r="E38">
        <f t="shared" si="1"/>
        <v>0.53147424391979048</v>
      </c>
      <c r="F38">
        <f t="shared" si="2"/>
        <v>5.7878695733004033E-2</v>
      </c>
      <c r="G38">
        <f t="shared" si="3"/>
        <v>5.7878695733004033E-2</v>
      </c>
      <c r="H38">
        <f t="shared" si="4"/>
        <v>3</v>
      </c>
    </row>
    <row r="39" spans="1:8" x14ac:dyDescent="0.25">
      <c r="A39" t="s">
        <v>40</v>
      </c>
      <c r="B39">
        <v>0.94465614352272609</v>
      </c>
      <c r="C39">
        <v>0.54146125238734955</v>
      </c>
      <c r="D39">
        <f t="shared" si="0"/>
        <v>0.7392852135232435</v>
      </c>
      <c r="E39">
        <f t="shared" si="1"/>
        <v>0.6746619185727184</v>
      </c>
      <c r="F39">
        <f t="shared" si="2"/>
        <v>0.12500773562211268</v>
      </c>
      <c r="G39">
        <f t="shared" si="3"/>
        <v>0.12500773562211268</v>
      </c>
      <c r="H39">
        <f t="shared" si="4"/>
        <v>3</v>
      </c>
    </row>
    <row r="40" spans="1:8" x14ac:dyDescent="0.25">
      <c r="A40" t="s">
        <v>41</v>
      </c>
      <c r="B40">
        <v>0.88134413621872365</v>
      </c>
      <c r="C40">
        <v>0.28674678585363289</v>
      </c>
      <c r="D40">
        <f t="shared" si="0"/>
        <v>0.86403730156341996</v>
      </c>
      <c r="E40">
        <f t="shared" si="1"/>
        <v>0.56343647458581336</v>
      </c>
      <c r="F40">
        <f t="shared" si="2"/>
        <v>0.16900959757712761</v>
      </c>
      <c r="G40">
        <f t="shared" si="3"/>
        <v>0.16900959757712761</v>
      </c>
      <c r="H40">
        <f t="shared" si="4"/>
        <v>3</v>
      </c>
    </row>
    <row r="41" spans="1:8" x14ac:dyDescent="0.25">
      <c r="A41" t="s">
        <v>42</v>
      </c>
      <c r="B41">
        <v>0.78204511799438348</v>
      </c>
      <c r="C41">
        <v>0.24971371399745459</v>
      </c>
      <c r="D41">
        <f t="shared" si="0"/>
        <v>0.83515356691322007</v>
      </c>
      <c r="E41">
        <f t="shared" si="1"/>
        <v>0.4660106981708545</v>
      </c>
      <c r="F41">
        <f t="shared" si="2"/>
        <v>0.21690135734650504</v>
      </c>
      <c r="G41">
        <f t="shared" si="3"/>
        <v>0.21690135734650504</v>
      </c>
      <c r="H41">
        <f t="shared" si="4"/>
        <v>3</v>
      </c>
    </row>
    <row r="42" spans="1:8" x14ac:dyDescent="0.25">
      <c r="A42" t="s">
        <v>43</v>
      </c>
      <c r="B42">
        <v>0.88132042299582591</v>
      </c>
      <c r="C42">
        <v>0.28885389926090421</v>
      </c>
      <c r="D42">
        <f t="shared" si="0"/>
        <v>0.86240149563718183</v>
      </c>
      <c r="E42">
        <f t="shared" si="1"/>
        <v>0.56339818982704137</v>
      </c>
      <c r="F42">
        <f t="shared" si="2"/>
        <v>0.16692380202782856</v>
      </c>
      <c r="G42">
        <f t="shared" si="3"/>
        <v>0.16692380202782856</v>
      </c>
      <c r="H42">
        <f t="shared" si="4"/>
        <v>3</v>
      </c>
    </row>
    <row r="43" spans="1:8" x14ac:dyDescent="0.25">
      <c r="A43" t="s">
        <v>44</v>
      </c>
      <c r="B43">
        <v>0.99737567153478013</v>
      </c>
      <c r="C43">
        <v>0.46968618167800807</v>
      </c>
      <c r="D43">
        <f t="shared" si="0"/>
        <v>0.82353666194732333</v>
      </c>
      <c r="E43">
        <f t="shared" si="1"/>
        <v>0.70237273691721114</v>
      </c>
      <c r="F43">
        <f t="shared" si="2"/>
        <v>0.14270738141776135</v>
      </c>
      <c r="G43">
        <f t="shared" si="3"/>
        <v>0.14270738141776135</v>
      </c>
      <c r="H43">
        <f t="shared" si="4"/>
        <v>3</v>
      </c>
    </row>
    <row r="44" spans="1:8" x14ac:dyDescent="0.25">
      <c r="A44" t="s">
        <v>45</v>
      </c>
      <c r="B44">
        <v>0.84214138859120991</v>
      </c>
      <c r="C44">
        <v>0.3948283649524067</v>
      </c>
      <c r="D44">
        <f t="shared" si="0"/>
        <v>0.75682144152847963</v>
      </c>
      <c r="E44">
        <f t="shared" si="1"/>
        <v>0.53426054550614444</v>
      </c>
      <c r="F44">
        <f t="shared" si="2"/>
        <v>6.0456737005944894E-2</v>
      </c>
      <c r="G44">
        <f t="shared" si="3"/>
        <v>6.0456737005944894E-2</v>
      </c>
      <c r="H44">
        <f t="shared" si="4"/>
        <v>3</v>
      </c>
    </row>
    <row r="45" spans="1:8" x14ac:dyDescent="0.25">
      <c r="A45" t="s">
        <v>46</v>
      </c>
      <c r="B45">
        <v>1</v>
      </c>
      <c r="C45">
        <v>0.28528064121831692</v>
      </c>
      <c r="D45">
        <f t="shared" si="0"/>
        <v>0.94525819579561143</v>
      </c>
      <c r="E45">
        <f t="shared" si="1"/>
        <v>0.68210077136225167</v>
      </c>
      <c r="F45">
        <f t="shared" si="2"/>
        <v>0.22193421518047635</v>
      </c>
      <c r="G45">
        <f t="shared" si="3"/>
        <v>0.22193421518047635</v>
      </c>
      <c r="H45">
        <f t="shared" si="4"/>
        <v>3</v>
      </c>
    </row>
    <row r="46" spans="1:8" x14ac:dyDescent="0.25">
      <c r="A46" t="s">
        <v>47</v>
      </c>
      <c r="B46">
        <v>0.58728253254158669</v>
      </c>
      <c r="C46">
        <v>0.41837300893089052</v>
      </c>
      <c r="D46">
        <f t="shared" si="0"/>
        <v>0.59231804939160504</v>
      </c>
      <c r="E46">
        <f t="shared" si="1"/>
        <v>0.29765412541287489</v>
      </c>
      <c r="F46">
        <f t="shared" si="2"/>
        <v>0.27060135829739895</v>
      </c>
      <c r="G46">
        <f t="shared" si="3"/>
        <v>0.27060135829739895</v>
      </c>
      <c r="H46">
        <f t="shared" si="4"/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2" max="2" width="14.5703125" bestFit="1" customWidth="1"/>
    <col min="3" max="3" width="14.7109375" bestFit="1" customWidth="1"/>
    <col min="5" max="5" width="18" customWidth="1"/>
    <col min="6" max="6" width="65" customWidth="1"/>
  </cols>
  <sheetData>
    <row r="1" spans="1:7" x14ac:dyDescent="0.25">
      <c r="A1" s="3" t="s">
        <v>62</v>
      </c>
      <c r="B1" s="4"/>
      <c r="C1" s="4"/>
      <c r="E1" s="3" t="s">
        <v>63</v>
      </c>
      <c r="F1" s="4"/>
      <c r="G1" s="4"/>
    </row>
    <row r="2" spans="1:7" x14ac:dyDescent="0.25">
      <c r="A2" t="s">
        <v>64</v>
      </c>
      <c r="B2" t="s">
        <v>65</v>
      </c>
      <c r="C2" t="s">
        <v>66</v>
      </c>
    </row>
    <row r="3" spans="1:7" x14ac:dyDescent="0.25">
      <c r="A3">
        <v>1</v>
      </c>
      <c r="B3">
        <v>15.42</v>
      </c>
      <c r="E3" t="s">
        <v>67</v>
      </c>
      <c r="F3" t="s">
        <v>68</v>
      </c>
    </row>
    <row r="4" spans="1:7" x14ac:dyDescent="0.25">
      <c r="A4">
        <v>2</v>
      </c>
      <c r="B4">
        <v>6.21</v>
      </c>
      <c r="C4" s="2">
        <f>(B3-B4)/B3</f>
        <v>0.59727626459143979</v>
      </c>
      <c r="E4" t="s">
        <v>69</v>
      </c>
      <c r="F4" t="s">
        <v>70</v>
      </c>
    </row>
    <row r="5" spans="1:7" x14ac:dyDescent="0.25">
      <c r="A5">
        <v>3</v>
      </c>
      <c r="B5">
        <v>2.15</v>
      </c>
      <c r="C5" s="2">
        <f>(B4-B5)/B4</f>
        <v>0.65378421900161043</v>
      </c>
      <c r="E5" t="s">
        <v>71</v>
      </c>
      <c r="F5" t="e">
        <f ca="1">( b(i) - a(i) ) / MAX( a(i), b(i) )</f>
        <v>#NAME?</v>
      </c>
    </row>
    <row r="6" spans="1:7" x14ac:dyDescent="0.25">
      <c r="A6">
        <v>4</v>
      </c>
      <c r="B6">
        <v>1.8</v>
      </c>
      <c r="C6" s="2">
        <f>(B5-B6)/B5</f>
        <v>0.16279069767441856</v>
      </c>
    </row>
    <row r="7" spans="1:7" x14ac:dyDescent="0.25">
      <c r="A7">
        <v>5</v>
      </c>
      <c r="B7">
        <v>1.55</v>
      </c>
      <c r="C7" s="2">
        <f>(B6-B7)/B6</f>
        <v>0.1388888888888889</v>
      </c>
    </row>
    <row r="9" spans="1:7" x14ac:dyDescent="0.25">
      <c r="A9" t="s">
        <v>72</v>
      </c>
    </row>
  </sheetData>
  <mergeCells count="2">
    <mergeCell ref="A1:C1"/>
    <mergeCell ref="E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1_Datos_Originales</vt:lpstr>
      <vt:lpstr>2_Datos_Escalados</vt:lpstr>
      <vt:lpstr>3_KMeans_Iteracion_1</vt:lpstr>
      <vt:lpstr>4_KMeans_Iteracion_2</vt:lpstr>
      <vt:lpstr>5_Metricas_Codo_y_Silueta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Cristobal Alejandro NuÃ±ez Cuevas</cp:lastModifiedBy>
  <dcterms:created xsi:type="dcterms:W3CDTF">2026-08-24T02:13:56Z</dcterms:created>
  <dcterms:modified xsi:type="dcterms:W3CDTF">2026-09-04T01:02:25Z</dcterms:modified>
</cp:coreProperties>
</file>