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Datos_Originales" sheetId="1" state="visible" r:id="rId1"/>
    <sheet xmlns:r="http://schemas.openxmlformats.org/officeDocument/2006/relationships" name="2_Datos_Escalados" sheetId="2" state="visible" r:id="rId2"/>
    <sheet xmlns:r="http://schemas.openxmlformats.org/officeDocument/2006/relationships" name="3_KMeans_Iteracion_1" sheetId="3" state="visible" r:id="rId3"/>
    <sheet xmlns:r="http://schemas.openxmlformats.org/officeDocument/2006/relationships" name="4_KMeans_Iteracion_2" sheetId="4" state="visible" r:id="rId4"/>
    <sheet xmlns:r="http://schemas.openxmlformats.org/officeDocument/2006/relationships" name="5_Metricas_Codo_y_Silue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1" t="inlineStr">
        <is>
          <t>Cliente_ID</t>
        </is>
      </c>
      <c r="B1" s="1" t="inlineStr">
        <is>
          <t>Ingreso_Anual</t>
        </is>
      </c>
      <c r="C1" s="1" t="inlineStr">
        <is>
          <t>Frecuencia_Gasto</t>
        </is>
      </c>
    </row>
    <row r="2">
      <c r="A2" t="inlineStr">
        <is>
          <t>C1</t>
        </is>
      </c>
      <c r="B2" t="n">
        <v>21490.1424590337</v>
      </c>
      <c r="C2" t="n">
        <v>12.18856235379514</v>
      </c>
    </row>
    <row r="3">
      <c r="A3" t="inlineStr">
        <is>
          <t>C2</t>
        </is>
      </c>
      <c r="B3" t="n">
        <v>19585.20709648645</v>
      </c>
      <c r="C3" t="n">
        <v>9.93584439832788</v>
      </c>
    </row>
    <row r="4">
      <c r="A4" t="inlineStr">
        <is>
          <t>C3</t>
        </is>
      </c>
      <c r="B4" t="n">
        <v>21943.06561430208</v>
      </c>
      <c r="C4" t="n">
        <v>16.57123666297637</v>
      </c>
    </row>
    <row r="5">
      <c r="A5" t="inlineStr">
        <is>
          <t>C4</t>
        </is>
      </c>
      <c r="B5" t="n">
        <v>24569.08956922407</v>
      </c>
      <c r="C5" t="n">
        <v>10.45987962239395</v>
      </c>
    </row>
    <row r="6">
      <c r="A6" t="inlineStr">
        <is>
          <t>C5</t>
        </is>
      </c>
      <c r="B6" t="n">
        <v>19297.53987582999</v>
      </c>
      <c r="C6" t="n">
        <v>7.938481493323542</v>
      </c>
    </row>
    <row r="7">
      <c r="A7" t="inlineStr">
        <is>
          <t>C6</t>
        </is>
      </c>
      <c r="B7" t="n">
        <v>19297.58912915246</v>
      </c>
      <c r="C7" t="n">
        <v>22.32824384460777</v>
      </c>
    </row>
    <row r="8">
      <c r="A8" t="inlineStr">
        <is>
          <t>C7</t>
        </is>
      </c>
      <c r="B8" t="n">
        <v>24737.63844652217</v>
      </c>
      <c r="C8" t="n">
        <v>13.87111849756732</v>
      </c>
    </row>
    <row r="9">
      <c r="A9" t="inlineStr">
        <is>
          <t>C8</t>
        </is>
      </c>
      <c r="B9" t="n">
        <v>22302.30418745873</v>
      </c>
      <c r="C9" t="n">
        <v>15.33764102343962</v>
      </c>
    </row>
    <row r="10">
      <c r="A10" t="inlineStr">
        <is>
          <t>C9</t>
        </is>
      </c>
      <c r="B10" t="n">
        <v>18591.57684219514</v>
      </c>
      <c r="C10" t="n">
        <v>7.876259068932717</v>
      </c>
    </row>
    <row r="11">
      <c r="A11" t="inlineStr">
        <is>
          <t>C10</t>
        </is>
      </c>
      <c r="B11" t="n">
        <v>21627.68013075789</v>
      </c>
      <c r="C11" t="n">
        <v>12.27808637737409</v>
      </c>
    </row>
    <row r="12">
      <c r="A12" t="inlineStr">
        <is>
          <t>C11</t>
        </is>
      </c>
      <c r="B12" t="n">
        <v>18609.74692156261</v>
      </c>
      <c r="C12" t="n">
        <v>15.55461294854933</v>
      </c>
    </row>
    <row r="13">
      <c r="A13" t="inlineStr">
        <is>
          <t>C12</t>
        </is>
      </c>
      <c r="B13" t="n">
        <v>18602.81073928923</v>
      </c>
      <c r="C13" t="n">
        <v>9.245032112888486</v>
      </c>
    </row>
    <row r="14">
      <c r="A14" t="inlineStr">
        <is>
          <t>C13</t>
        </is>
      </c>
      <c r="B14" t="n">
        <v>20725.8868146981</v>
      </c>
      <c r="C14" t="n">
        <v>16.87849009172836</v>
      </c>
    </row>
    <row r="15">
      <c r="A15" t="inlineStr">
        <is>
          <t>C14</t>
        </is>
      </c>
      <c r="B15" t="n">
        <v>14260.15926602661</v>
      </c>
      <c r="C15" t="n">
        <v>11.99680655040597</v>
      </c>
    </row>
    <row r="16">
      <c r="A16" t="inlineStr">
        <is>
          <t>C15</t>
        </is>
      </c>
      <c r="B16" t="n">
        <v>14825.2465024609</v>
      </c>
      <c r="C16" t="n">
        <v>13.54153125103362</v>
      </c>
    </row>
    <row r="17">
      <c r="A17" t="inlineStr">
        <is>
          <t>C16</t>
        </is>
      </c>
      <c r="B17" t="n">
        <v>46991.46693885302</v>
      </c>
      <c r="C17" t="n">
        <v>52.80155791605291</v>
      </c>
    </row>
    <row r="18">
      <c r="A18" t="inlineStr">
        <is>
          <t>C17</t>
        </is>
      </c>
      <c r="B18" t="n">
        <v>59261.39092254469</v>
      </c>
      <c r="C18" t="n">
        <v>55.39361229040212</v>
      </c>
    </row>
    <row r="19">
      <c r="A19" t="inlineStr">
        <is>
          <t>C18</t>
        </is>
      </c>
      <c r="B19" t="n">
        <v>49932.51387631033</v>
      </c>
      <c r="C19" t="n">
        <v>70.57122226218915</v>
      </c>
    </row>
    <row r="20">
      <c r="A20" t="inlineStr">
        <is>
          <t>C19</t>
        </is>
      </c>
      <c r="B20" t="n">
        <v>44711.4453552205</v>
      </c>
      <c r="C20" t="n">
        <v>63.43618289568462</v>
      </c>
    </row>
    <row r="21">
      <c r="A21" t="inlineStr">
        <is>
          <t>C20</t>
        </is>
      </c>
      <c r="B21" t="n">
        <v>54112.72456051595</v>
      </c>
      <c r="C21" t="n">
        <v>42.36959844637266</v>
      </c>
    </row>
    <row r="22">
      <c r="A22" t="inlineStr">
        <is>
          <t>C21</t>
        </is>
      </c>
      <c r="B22" t="n">
        <v>43895.78175014489</v>
      </c>
      <c r="C22" t="n">
        <v>63.24083969394795</v>
      </c>
    </row>
    <row r="23">
      <c r="A23" t="inlineStr">
        <is>
          <t>C22</t>
        </is>
      </c>
      <c r="B23" t="n">
        <v>51044.31797502378</v>
      </c>
      <c r="C23" t="n">
        <v>56.14917719583683</v>
      </c>
    </row>
    <row r="24">
      <c r="A24" t="inlineStr">
        <is>
          <t>C23</t>
        </is>
      </c>
      <c r="B24" t="n">
        <v>40201.64938060112</v>
      </c>
      <c r="C24" t="n">
        <v>53.23077999694041</v>
      </c>
    </row>
    <row r="25">
      <c r="A25" t="inlineStr">
        <is>
          <t>C24</t>
        </is>
      </c>
      <c r="B25" t="n">
        <v>43359.06975550785</v>
      </c>
      <c r="C25" t="n">
        <v>66.11676288840867</v>
      </c>
    </row>
    <row r="26">
      <c r="A26" t="inlineStr">
        <is>
          <t>C25</t>
        </is>
      </c>
      <c r="B26" t="n">
        <v>50984.30617934561</v>
      </c>
      <c r="C26" t="n">
        <v>70.30999522495951</v>
      </c>
    </row>
    <row r="27">
      <c r="A27" t="inlineStr">
        <is>
          <t>C26</t>
        </is>
      </c>
      <c r="B27" t="n">
        <v>53692.33289997705</v>
      </c>
      <c r="C27" t="n">
        <v>69.31280119116198</v>
      </c>
    </row>
    <row r="28">
      <c r="A28" t="inlineStr">
        <is>
          <t>C27</t>
        </is>
      </c>
      <c r="B28" t="n">
        <v>50856.84140594985</v>
      </c>
      <c r="C28" t="n">
        <v>51.60782476777361</v>
      </c>
    </row>
    <row r="29">
      <c r="A29" t="inlineStr">
        <is>
          <t>C28</t>
        </is>
      </c>
      <c r="B29" t="n">
        <v>49421.75858805879</v>
      </c>
      <c r="C29" t="n">
        <v>56.90787624148786</v>
      </c>
    </row>
    <row r="30">
      <c r="A30" t="inlineStr">
        <is>
          <t>C29</t>
        </is>
      </c>
      <c r="B30" t="n">
        <v>48494.48152205355</v>
      </c>
      <c r="C30" t="n">
        <v>63.31263431403564</v>
      </c>
    </row>
    <row r="31">
      <c r="A31" t="inlineStr">
        <is>
          <t>C30</t>
        </is>
      </c>
      <c r="B31" t="n">
        <v>42607.39004816287</v>
      </c>
      <c r="C31" t="n">
        <v>69.75545127122359</v>
      </c>
    </row>
    <row r="32">
      <c r="A32" t="inlineStr">
        <is>
          <t>C31</t>
        </is>
      </c>
      <c r="B32" t="n">
        <v>95208.25762154711</v>
      </c>
      <c r="C32" t="n">
        <v>36.57522003500179</v>
      </c>
    </row>
    <row r="33">
      <c r="A33" t="inlineStr">
        <is>
          <t>C32</t>
        </is>
      </c>
      <c r="B33" t="n">
        <v>98143.41023336184</v>
      </c>
      <c r="C33" t="n">
        <v>30.69637654590537</v>
      </c>
    </row>
    <row r="34">
      <c r="A34" t="inlineStr">
        <is>
          <t>C33</t>
        </is>
      </c>
      <c r="B34" t="n">
        <v>88936.65025993972</v>
      </c>
      <c r="C34" t="n">
        <v>27.60794119627306</v>
      </c>
    </row>
    <row r="35">
      <c r="A35" t="inlineStr">
        <is>
          <t>C34</t>
        </is>
      </c>
      <c r="B35" t="n">
        <v>88037.93375919329</v>
      </c>
      <c r="C35" t="n">
        <v>30.73408621228402</v>
      </c>
    </row>
    <row r="36">
      <c r="A36" t="inlineStr">
        <is>
          <t>C35</t>
        </is>
      </c>
      <c r="B36" t="n">
        <v>108125.258223942</v>
      </c>
      <c r="C36" t="n">
        <v>14.09944868319286</v>
      </c>
    </row>
    <row r="37">
      <c r="A37" t="inlineStr">
        <is>
          <t>C36</t>
        </is>
      </c>
      <c r="B37" t="n">
        <v>113562.4002857082</v>
      </c>
      <c r="C37" t="n">
        <v>28.2426248972999</v>
      </c>
    </row>
    <row r="38">
      <c r="A38" t="inlineStr">
        <is>
          <t>C37</t>
        </is>
      </c>
      <c r="B38" t="n">
        <v>99279.89878419666</v>
      </c>
      <c r="C38" t="n">
        <v>32.85690057209397</v>
      </c>
    </row>
    <row r="39">
      <c r="A39" t="inlineStr">
        <is>
          <t>C38</t>
        </is>
      </c>
      <c r="B39" t="n">
        <v>110035.3289789202</v>
      </c>
      <c r="C39" t="n">
        <v>41.82315235793213</v>
      </c>
    </row>
    <row r="40">
      <c r="A40" t="inlineStr">
        <is>
          <t>C39</t>
        </is>
      </c>
      <c r="B40" t="n">
        <v>103616.3602504763</v>
      </c>
      <c r="C40" t="n">
        <v>25.85383825381082</v>
      </c>
    </row>
    <row r="41">
      <c r="A41" t="inlineStr">
        <is>
          <t>C40</t>
        </is>
      </c>
      <c r="B41" t="n">
        <v>93548.80245394875</v>
      </c>
      <c r="C41" t="n">
        <v>23.5320511768545</v>
      </c>
    </row>
    <row r="42">
      <c r="A42" t="inlineStr">
        <is>
          <t>C41</t>
        </is>
      </c>
      <c r="B42" t="n">
        <v>103613.9560550841</v>
      </c>
      <c r="C42" t="n">
        <v>25.98594365132371</v>
      </c>
    </row>
    <row r="43">
      <c r="A43" t="inlineStr">
        <is>
          <t>C42</t>
        </is>
      </c>
      <c r="B43" t="n">
        <v>115380.3656646597</v>
      </c>
      <c r="C43" t="n">
        <v>37.32321694161659</v>
      </c>
    </row>
    <row r="44">
      <c r="A44" t="inlineStr">
        <is>
          <t>C43</t>
        </is>
      </c>
      <c r="B44" t="n">
        <v>99641.73960890049</v>
      </c>
      <c r="C44" t="n">
        <v>32.63000887727748</v>
      </c>
    </row>
    <row r="45">
      <c r="A45" t="inlineStr">
        <is>
          <t>C44</t>
        </is>
      </c>
      <c r="B45" t="n">
        <v>115646.4365581401</v>
      </c>
      <c r="C45" t="n">
        <v>25.76191836986369</v>
      </c>
    </row>
    <row r="46">
      <c r="A46" t="inlineStr">
        <is>
          <t>C45</t>
        </is>
      </c>
      <c r="B46" t="n">
        <v>73802.54895910255</v>
      </c>
      <c r="C46" t="n">
        <v>34.10613946490685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1" t="inlineStr">
        <is>
          <t>Cliente_ID</t>
        </is>
      </c>
      <c r="B1" s="1" t="inlineStr">
        <is>
          <t>Ingreso_Norm</t>
        </is>
      </c>
      <c r="C1" s="1" t="inlineStr">
        <is>
          <t>Gasto_Norm</t>
        </is>
      </c>
    </row>
    <row r="2">
      <c r="A2" t="inlineStr">
        <is>
          <t>C1</t>
        </is>
      </c>
      <c r="B2" t="n">
        <v>0.07131126012424849</v>
      </c>
      <c r="C2" t="n">
        <v>0.06878229231221972</v>
      </c>
    </row>
    <row r="3">
      <c r="A3" t="inlineStr">
        <is>
          <t>C2</t>
        </is>
      </c>
      <c r="B3" t="n">
        <v>0.05252237258023932</v>
      </c>
      <c r="C3" t="n">
        <v>0.03285088984016974</v>
      </c>
    </row>
    <row r="4">
      <c r="A4" t="inlineStr">
        <is>
          <t>C3</t>
        </is>
      </c>
      <c r="B4" t="n">
        <v>0.07577856247882081</v>
      </c>
      <c r="C4" t="n">
        <v>0.1386870196771867</v>
      </c>
    </row>
    <row r="5">
      <c r="A5" t="inlineStr">
        <is>
          <t>C4</t>
        </is>
      </c>
      <c r="B5" t="n">
        <v>0.1016797398872379</v>
      </c>
      <c r="C5" t="n">
        <v>0.04120937985874959</v>
      </c>
    </row>
    <row r="6">
      <c r="A6" t="inlineStr">
        <is>
          <t>C5</t>
        </is>
      </c>
      <c r="B6" t="n">
        <v>0.04968503375747507</v>
      </c>
      <c r="C6" t="n">
        <v>0.0009924628905040741</v>
      </c>
    </row>
    <row r="7">
      <c r="A7" t="inlineStr">
        <is>
          <t>C6</t>
        </is>
      </c>
      <c r="B7" t="n">
        <v>0.04968551955618255</v>
      </c>
      <c r="C7" t="n">
        <v>0.2305126925607563</v>
      </c>
    </row>
    <row r="8">
      <c r="A8" t="inlineStr">
        <is>
          <t>C7</t>
        </is>
      </c>
      <c r="B8" t="n">
        <v>0.1033421825944741</v>
      </c>
      <c r="C8" t="n">
        <v>0.095619474409061</v>
      </c>
    </row>
    <row r="9">
      <c r="A9" t="inlineStr">
        <is>
          <t>C8</t>
        </is>
      </c>
      <c r="B9" t="n">
        <v>0.07932182871515388</v>
      </c>
      <c r="C9" t="n">
        <v>0.1190108674520996</v>
      </c>
    </row>
    <row r="10">
      <c r="A10" t="inlineStr">
        <is>
          <t>C9</t>
        </is>
      </c>
      <c r="B10" t="n">
        <v>0.04272193132892024</v>
      </c>
      <c r="C10" t="n">
        <v>0</v>
      </c>
    </row>
    <row r="11">
      <c r="A11" t="inlineStr">
        <is>
          <t>C10</t>
        </is>
      </c>
      <c r="B11" t="n">
        <v>0.07266783100738609</v>
      </c>
      <c r="C11" t="n">
        <v>0.07021022238856403</v>
      </c>
    </row>
    <row r="12">
      <c r="A12" t="inlineStr">
        <is>
          <t>C11</t>
        </is>
      </c>
      <c r="B12" t="n">
        <v>0.04290114768692021</v>
      </c>
      <c r="C12" t="n">
        <v>0.122471622735437</v>
      </c>
    </row>
    <row r="13">
      <c r="A13" t="inlineStr">
        <is>
          <t>C12</t>
        </is>
      </c>
      <c r="B13" t="n">
        <v>0.04283273426393402</v>
      </c>
      <c r="C13" t="n">
        <v>0.02183226489401619</v>
      </c>
    </row>
    <row r="14">
      <c r="A14" t="inlineStr">
        <is>
          <t>C13</t>
        </is>
      </c>
      <c r="B14" t="n">
        <v>0.06377320206799275</v>
      </c>
      <c r="C14" t="n">
        <v>0.1435877870291809</v>
      </c>
    </row>
    <row r="15">
      <c r="A15" t="inlineStr">
        <is>
          <t>C14</t>
        </is>
      </c>
      <c r="B15" t="n">
        <v>0</v>
      </c>
      <c r="C15" t="n">
        <v>0.06572374033894433</v>
      </c>
    </row>
    <row r="16">
      <c r="A16" t="inlineStr">
        <is>
          <t>C15</t>
        </is>
      </c>
      <c r="B16" t="n">
        <v>0.005573606720031435</v>
      </c>
      <c r="C16" t="n">
        <v>0.09036247719992704</v>
      </c>
    </row>
    <row r="17">
      <c r="A17" t="inlineStr">
        <is>
          <t>C16</t>
        </is>
      </c>
      <c r="B17" t="n">
        <v>0.3228376516727327</v>
      </c>
      <c r="C17" t="n">
        <v>0.7165695066865025</v>
      </c>
    </row>
    <row r="18">
      <c r="A18" t="inlineStr">
        <is>
          <t>C17</t>
        </is>
      </c>
      <c r="B18" t="n">
        <v>0.4438591973039984</v>
      </c>
      <c r="C18" t="n">
        <v>0.7579134080515808</v>
      </c>
    </row>
    <row r="19">
      <c r="A19" t="inlineStr">
        <is>
          <t>C18</t>
        </is>
      </c>
      <c r="B19" t="n">
        <v>0.3518459851080712</v>
      </c>
      <c r="C19" t="n">
        <v>1</v>
      </c>
    </row>
    <row r="20">
      <c r="A20" t="inlineStr">
        <is>
          <t>C19</t>
        </is>
      </c>
      <c r="B20" t="n">
        <v>0.3003491882975233</v>
      </c>
      <c r="C20" t="n">
        <v>0.8861943766597188</v>
      </c>
    </row>
    <row r="21">
      <c r="A21" t="inlineStr">
        <is>
          <t>C20</t>
        </is>
      </c>
      <c r="B21" t="n">
        <v>0.3930765223745852</v>
      </c>
      <c r="C21" t="n">
        <v>0.5501772011750714</v>
      </c>
    </row>
    <row r="22">
      <c r="A22" t="inlineStr">
        <is>
          <t>C21</t>
        </is>
      </c>
      <c r="B22" t="n">
        <v>0.2923040797595549</v>
      </c>
      <c r="C22" t="n">
        <v>0.8830786048052155</v>
      </c>
    </row>
    <row r="23">
      <c r="A23" t="inlineStr">
        <is>
          <t>C22</t>
        </is>
      </c>
      <c r="B23" t="n">
        <v>0.3628120066290125</v>
      </c>
      <c r="C23" t="n">
        <v>0.7699648531270918</v>
      </c>
    </row>
    <row r="24">
      <c r="A24" t="inlineStr">
        <is>
          <t>C23</t>
        </is>
      </c>
      <c r="B24" t="n">
        <v>0.2558678630622965</v>
      </c>
      <c r="C24" t="n">
        <v>0.723415703877247</v>
      </c>
    </row>
    <row r="25">
      <c r="A25" t="inlineStr">
        <is>
          <t>C24</t>
        </is>
      </c>
      <c r="B25" t="n">
        <v>0.2870103456470905</v>
      </c>
      <c r="C25" t="n">
        <v>0.9289502832938961</v>
      </c>
    </row>
    <row r="26">
      <c r="A26" t="inlineStr">
        <is>
          <t>C25</t>
        </is>
      </c>
      <c r="B26" t="n">
        <v>0.3622200942195525</v>
      </c>
      <c r="C26" t="n">
        <v>0.9958333648522224</v>
      </c>
    </row>
    <row r="27">
      <c r="A27" t="inlineStr">
        <is>
          <t>C26</t>
        </is>
      </c>
      <c r="B27" t="n">
        <v>0.3889300868631238</v>
      </c>
      <c r="C27" t="n">
        <v>0.9799278760695959</v>
      </c>
    </row>
    <row r="28">
      <c r="A28" t="inlineStr">
        <is>
          <t>C27</t>
        </is>
      </c>
      <c r="B28" t="n">
        <v>0.3609628750297353</v>
      </c>
      <c r="C28" t="n">
        <v>0.6975291709485321</v>
      </c>
    </row>
    <row r="29">
      <c r="A29" t="inlineStr">
        <is>
          <t>C28</t>
        </is>
      </c>
      <c r="B29" t="n">
        <v>0.3468082689408234</v>
      </c>
      <c r="C29" t="n">
        <v>0.7820662885057575</v>
      </c>
    </row>
    <row r="30">
      <c r="A30" t="inlineStr">
        <is>
          <t>C29</t>
        </is>
      </c>
      <c r="B30" t="n">
        <v>0.3376622869522199</v>
      </c>
      <c r="C30" t="n">
        <v>0.8842237465587306</v>
      </c>
    </row>
    <row r="31">
      <c r="A31" t="inlineStr">
        <is>
          <t>C30</t>
        </is>
      </c>
      <c r="B31" t="n">
        <v>0.2795963274246909</v>
      </c>
      <c r="C31" t="n">
        <v>0.9869882531320585</v>
      </c>
    </row>
    <row r="32">
      <c r="A32" t="inlineStr">
        <is>
          <t>C31</t>
        </is>
      </c>
      <c r="B32" t="n">
        <v>0.7984127686461293</v>
      </c>
      <c r="C32" t="n">
        <v>0.4577554480350342</v>
      </c>
    </row>
    <row r="33">
      <c r="A33" t="inlineStr">
        <is>
          <t>C32</t>
        </is>
      </c>
      <c r="B33" t="n">
        <v>0.8273629647693975</v>
      </c>
      <c r="C33" t="n">
        <v>0.3639864562425841</v>
      </c>
    </row>
    <row r="34">
      <c r="A34" t="inlineStr">
        <is>
          <t>C33</t>
        </is>
      </c>
      <c r="B34" t="n">
        <v>0.7365542259605382</v>
      </c>
      <c r="C34" t="n">
        <v>0.3147251568920725</v>
      </c>
    </row>
    <row r="35">
      <c r="A35" t="inlineStr">
        <is>
          <t>C34</t>
        </is>
      </c>
      <c r="B35" t="n">
        <v>0.7276899444744248</v>
      </c>
      <c r="C35" t="n">
        <v>0.3645879346462385</v>
      </c>
    </row>
    <row r="36">
      <c r="A36" t="inlineStr">
        <is>
          <t>C35</t>
        </is>
      </c>
      <c r="B36" t="n">
        <v>0.9258166042281234</v>
      </c>
      <c r="C36" t="n">
        <v>0.09926139672619692</v>
      </c>
    </row>
    <row r="37">
      <c r="A37" t="inlineStr">
        <is>
          <t>C36</t>
        </is>
      </c>
      <c r="B37" t="n">
        <v>0.9794445922259545</v>
      </c>
      <c r="C37" t="n">
        <v>0.3248485171861114</v>
      </c>
    </row>
    <row r="38">
      <c r="A38" t="inlineStr">
        <is>
          <t>C37</t>
        </is>
      </c>
      <c r="B38" t="n">
        <v>0.8385724556510913</v>
      </c>
      <c r="C38" t="n">
        <v>0.3984473429892404</v>
      </c>
    </row>
    <row r="39">
      <c r="A39" t="inlineStr">
        <is>
          <t>C38</t>
        </is>
      </c>
      <c r="B39" t="n">
        <v>0.9446561435227261</v>
      </c>
      <c r="C39" t="n">
        <v>0.5414612523873495</v>
      </c>
    </row>
    <row r="40">
      <c r="A40" t="inlineStr">
        <is>
          <t>C39</t>
        </is>
      </c>
      <c r="B40" t="n">
        <v>0.8813441362187237</v>
      </c>
      <c r="C40" t="n">
        <v>0.2867467858536329</v>
      </c>
    </row>
    <row r="41">
      <c r="A41" t="inlineStr">
        <is>
          <t>C40</t>
        </is>
      </c>
      <c r="B41" t="n">
        <v>0.7820451179943835</v>
      </c>
      <c r="C41" t="n">
        <v>0.2497137139974546</v>
      </c>
    </row>
    <row r="42">
      <c r="A42" t="inlineStr">
        <is>
          <t>C41</t>
        </is>
      </c>
      <c r="B42" t="n">
        <v>0.8813204229958259</v>
      </c>
      <c r="C42" t="n">
        <v>0.2888538992609042</v>
      </c>
    </row>
    <row r="43">
      <c r="A43" t="inlineStr">
        <is>
          <t>C42</t>
        </is>
      </c>
      <c r="B43" t="n">
        <v>0.9973756715347801</v>
      </c>
      <c r="C43" t="n">
        <v>0.4696861816780081</v>
      </c>
    </row>
    <row r="44">
      <c r="A44" t="inlineStr">
        <is>
          <t>C43</t>
        </is>
      </c>
      <c r="B44" t="n">
        <v>0.8421413885912099</v>
      </c>
      <c r="C44" t="n">
        <v>0.3948283649524067</v>
      </c>
    </row>
    <row r="45">
      <c r="A45" t="inlineStr">
        <is>
          <t>C44</t>
        </is>
      </c>
      <c r="B45" t="n">
        <v>1</v>
      </c>
      <c r="C45" t="n">
        <v>0.2852806412183169</v>
      </c>
    </row>
    <row r="46">
      <c r="A46" t="inlineStr">
        <is>
          <t>C45</t>
        </is>
      </c>
      <c r="B46" t="n">
        <v>0.5872825325415867</v>
      </c>
      <c r="C46" t="n">
        <v>0.4183730089308905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inlineStr">
        <is>
          <t>CENTROIDES INICIALES (K=3)</t>
        </is>
      </c>
      <c r="K1" s="1" t="n"/>
      <c r="L1" s="1" t="n"/>
    </row>
    <row r="2">
      <c r="A2" t="inlineStr">
        <is>
          <t>C1</t>
        </is>
      </c>
      <c r="B2" t="n">
        <v>0.07131126012424849</v>
      </c>
      <c r="C2" t="n">
        <v>0.06878229231221972</v>
      </c>
      <c r="D2">
        <f>SQRT((B2-$K$3)^2 + (C2-$L$3)^2)</f>
        <v/>
      </c>
      <c r="E2">
        <f>SQRT((B2-$K$4)^2 + (C2-$L$4)^2)</f>
        <v/>
      </c>
      <c r="F2">
        <f>SQRT((B2-$K$5)^2 + (C2-$L$5)^2)</f>
        <v/>
      </c>
      <c r="G2">
        <f>MIN(D2:F2)</f>
        <v/>
      </c>
      <c r="H2">
        <f>MATCH(G2, D2:F2, 0)</f>
        <v/>
      </c>
      <c r="K2" t="inlineStr">
        <is>
          <t>X (Ingreso_Norm)</t>
        </is>
      </c>
      <c r="L2" t="inlineStr">
        <is>
          <t>Y (Gasto_Norm)</t>
        </is>
      </c>
    </row>
    <row r="3">
      <c r="A3" t="inlineStr">
        <is>
          <t>C2</t>
        </is>
      </c>
      <c r="B3" t="n">
        <v>0.05252237258023932</v>
      </c>
      <c r="C3" t="n">
        <v>0.03285088984016974</v>
      </c>
      <c r="D3">
        <f>SQRT((B3-$K$3)^2 + (C3-$L$3)^2)</f>
        <v/>
      </c>
      <c r="E3">
        <f>SQRT((B3-$K$4)^2 + (C3-$L$4)^2)</f>
        <v/>
      </c>
      <c r="F3">
        <f>SQRT((B3-$K$5)^2 + (C3-$L$5)^2)</f>
        <v/>
      </c>
      <c r="G3">
        <f>MIN(D3:F3)</f>
        <v/>
      </c>
      <c r="H3">
        <f>MATCH(G3, D3:F3, 0)</f>
        <v/>
      </c>
      <c r="J3" t="inlineStr">
        <is>
          <t>C1 (Azar)</t>
        </is>
      </c>
      <c r="K3" t="n">
        <v>0.1</v>
      </c>
      <c r="L3" t="n">
        <v>0.8</v>
      </c>
    </row>
    <row r="4">
      <c r="A4" t="inlineStr">
        <is>
          <t>C3</t>
        </is>
      </c>
      <c r="B4" t="n">
        <v>0.07577856247882081</v>
      </c>
      <c r="C4" t="n">
        <v>0.1386870196771867</v>
      </c>
      <c r="D4">
        <f>SQRT((B4-$K$3)^2 + (C4-$L$3)^2)</f>
        <v/>
      </c>
      <c r="E4">
        <f>SQRT((B4-$K$4)^2 + (C4-$L$4)^2)</f>
        <v/>
      </c>
      <c r="F4">
        <f>SQRT((B4-$K$5)^2 + (C4-$L$5)^2)</f>
        <v/>
      </c>
      <c r="G4">
        <f>MIN(D4:F4)</f>
        <v/>
      </c>
      <c r="H4">
        <f>MATCH(G4, D4:F4, 0)</f>
        <v/>
      </c>
      <c r="J4" t="inlineStr">
        <is>
          <t>C2 (Azar)</t>
        </is>
      </c>
      <c r="K4" t="n">
        <v>0.5</v>
      </c>
      <c r="L4" t="n">
        <v>0.5</v>
      </c>
    </row>
    <row r="5">
      <c r="A5" t="inlineStr">
        <is>
          <t>C4</t>
        </is>
      </c>
      <c r="B5" t="n">
        <v>0.1016797398872379</v>
      </c>
      <c r="C5" t="n">
        <v>0.04120937985874959</v>
      </c>
      <c r="D5">
        <f>SQRT((B5-$K$3)^2 + (C5-$L$3)^2)</f>
        <v/>
      </c>
      <c r="E5">
        <f>SQRT((B5-$K$4)^2 + (C5-$L$4)^2)</f>
        <v/>
      </c>
      <c r="F5">
        <f>SQRT((B5-$K$5)^2 + (C5-$L$5)^2)</f>
        <v/>
      </c>
      <c r="G5">
        <f>MIN(D5:F5)</f>
        <v/>
      </c>
      <c r="H5">
        <f>MATCH(G5, D5:F5, 0)</f>
        <v/>
      </c>
      <c r="J5" t="inlineStr">
        <is>
          <t>C3 (Azar)</t>
        </is>
      </c>
      <c r="K5" t="n">
        <v>0.9</v>
      </c>
      <c r="L5" t="n">
        <v>0.2</v>
      </c>
    </row>
    <row r="6">
      <c r="A6" t="inlineStr">
        <is>
          <t>C5</t>
        </is>
      </c>
      <c r="B6" t="n">
        <v>0.04968503375747507</v>
      </c>
      <c r="C6" t="n">
        <v>0.0009924628905040741</v>
      </c>
      <c r="D6">
        <f>SQRT((B6-$K$3)^2 + (C6-$L$3)^2)</f>
        <v/>
      </c>
      <c r="E6">
        <f>SQRT((B6-$K$4)^2 + (C6-$L$4)^2)</f>
        <v/>
      </c>
      <c r="F6">
        <f>SQRT((B6-$K$5)^2 + (C6-$L$5)^2)</f>
        <v/>
      </c>
      <c r="G6">
        <f>MIN(D6:F6)</f>
        <v/>
      </c>
      <c r="H6">
        <f>MATCH(G6, D6:F6, 0)</f>
        <v/>
      </c>
    </row>
    <row r="7">
      <c r="A7" t="inlineStr">
        <is>
          <t>C6</t>
        </is>
      </c>
      <c r="B7" t="n">
        <v>0.04968551955618255</v>
      </c>
      <c r="C7" t="n">
        <v>0.2305126925607563</v>
      </c>
      <c r="D7">
        <f>SQRT((B7-$K$3)^2 + (C7-$L$3)^2)</f>
        <v/>
      </c>
      <c r="E7">
        <f>SQRT((B7-$K$4)^2 + (C7-$L$4)^2)</f>
        <v/>
      </c>
      <c r="F7">
        <f>SQRT((B7-$K$5)^2 + (C7-$L$5)^2)</f>
        <v/>
      </c>
      <c r="G7">
        <f>MIN(D7:F7)</f>
        <v/>
      </c>
      <c r="H7">
        <f>MATCH(G7, D7:F7, 0)</f>
        <v/>
      </c>
    </row>
    <row r="8">
      <c r="A8" t="inlineStr">
        <is>
          <t>C7</t>
        </is>
      </c>
      <c r="B8" t="n">
        <v>0.1033421825944741</v>
      </c>
      <c r="C8" t="n">
        <v>0.095619474409061</v>
      </c>
      <c r="D8">
        <f>SQRT((B8-$K$3)^2 + (C8-$L$3)^2)</f>
        <v/>
      </c>
      <c r="E8">
        <f>SQRT((B8-$K$4)^2 + (C8-$L$4)^2)</f>
        <v/>
      </c>
      <c r="F8">
        <f>SQRT((B8-$K$5)^2 + (C8-$L$5)^2)</f>
        <v/>
      </c>
      <c r="G8">
        <f>MIN(D8:F8)</f>
        <v/>
      </c>
      <c r="H8">
        <f>MATCH(G8, D8:F8, 0)</f>
        <v/>
      </c>
    </row>
    <row r="9">
      <c r="A9" t="inlineStr">
        <is>
          <t>C8</t>
        </is>
      </c>
      <c r="B9" t="n">
        <v>0.07932182871515388</v>
      </c>
      <c r="C9" t="n">
        <v>0.1190108674520996</v>
      </c>
      <c r="D9">
        <f>SQRT((B9-$K$3)^2 + (C9-$L$3)^2)</f>
        <v/>
      </c>
      <c r="E9">
        <f>SQRT((B9-$K$4)^2 + (C9-$L$4)^2)</f>
        <v/>
      </c>
      <c r="F9">
        <f>SQRT((B9-$K$5)^2 + (C9-$L$5)^2)</f>
        <v/>
      </c>
      <c r="G9">
        <f>MIN(D9:F9)</f>
        <v/>
      </c>
      <c r="H9">
        <f>MATCH(G9, D9:F9, 0)</f>
        <v/>
      </c>
    </row>
    <row r="10">
      <c r="A10" t="inlineStr">
        <is>
          <t>C9</t>
        </is>
      </c>
      <c r="B10" t="n">
        <v>0.04272193132892024</v>
      </c>
      <c r="C10" t="n">
        <v>0</v>
      </c>
      <c r="D10">
        <f>SQRT((B10-$K$3)^2 + (C10-$L$3)^2)</f>
        <v/>
      </c>
      <c r="E10">
        <f>SQRT((B10-$K$4)^2 + (C10-$L$4)^2)</f>
        <v/>
      </c>
      <c r="F10">
        <f>SQRT((B10-$K$5)^2 + (C10-$L$5)^2)</f>
        <v/>
      </c>
      <c r="G10">
        <f>MIN(D10:F10)</f>
        <v/>
      </c>
      <c r="H10">
        <f>MATCH(G10, D10:F10, 0)</f>
        <v/>
      </c>
    </row>
    <row r="11">
      <c r="A11" t="inlineStr">
        <is>
          <t>C10</t>
        </is>
      </c>
      <c r="B11" t="n">
        <v>0.07266783100738609</v>
      </c>
      <c r="C11" t="n">
        <v>0.07021022238856403</v>
      </c>
      <c r="D11">
        <f>SQRT((B11-$K$3)^2 + (C11-$L$3)^2)</f>
        <v/>
      </c>
      <c r="E11">
        <f>SQRT((B11-$K$4)^2 + (C11-$L$4)^2)</f>
        <v/>
      </c>
      <c r="F11">
        <f>SQRT((B11-$K$5)^2 + (C11-$L$5)^2)</f>
        <v/>
      </c>
      <c r="G11">
        <f>MIN(D11:F11)</f>
        <v/>
      </c>
      <c r="H11">
        <f>MATCH(G11, D11:F11, 0)</f>
        <v/>
      </c>
    </row>
    <row r="12">
      <c r="A12" t="inlineStr">
        <is>
          <t>C11</t>
        </is>
      </c>
      <c r="B12" t="n">
        <v>0.04290114768692021</v>
      </c>
      <c r="C12" t="n">
        <v>0.122471622735437</v>
      </c>
      <c r="D12">
        <f>SQRT((B12-$K$3)^2 + (C12-$L$3)^2)</f>
        <v/>
      </c>
      <c r="E12">
        <f>SQRT((B12-$K$4)^2 + (C12-$L$4)^2)</f>
        <v/>
      </c>
      <c r="F12">
        <f>SQRT((B12-$K$5)^2 + (C12-$L$5)^2)</f>
        <v/>
      </c>
      <c r="G12">
        <f>MIN(D12:F12)</f>
        <v/>
      </c>
      <c r="H12">
        <f>MATCH(G12, D12:F12, 0)</f>
        <v/>
      </c>
    </row>
    <row r="13">
      <c r="A13" t="inlineStr">
        <is>
          <t>C12</t>
        </is>
      </c>
      <c r="B13" t="n">
        <v>0.04283273426393402</v>
      </c>
      <c r="C13" t="n">
        <v>0.02183226489401619</v>
      </c>
      <c r="D13">
        <f>SQRT((B13-$K$3)^2 + (C13-$L$3)^2)</f>
        <v/>
      </c>
      <c r="E13">
        <f>SQRT((B13-$K$4)^2 + (C13-$L$4)^2)</f>
        <v/>
      </c>
      <c r="F13">
        <f>SQRT((B13-$K$5)^2 + (C13-$L$5)^2)</f>
        <v/>
      </c>
      <c r="G13">
        <f>MIN(D13:F13)</f>
        <v/>
      </c>
      <c r="H13">
        <f>MATCH(G13, D13:F13, 0)</f>
        <v/>
      </c>
    </row>
    <row r="14">
      <c r="A14" t="inlineStr">
        <is>
          <t>C13</t>
        </is>
      </c>
      <c r="B14" t="n">
        <v>0.06377320206799275</v>
      </c>
      <c r="C14" t="n">
        <v>0.1435877870291809</v>
      </c>
      <c r="D14">
        <f>SQRT((B14-$K$3)^2 + (C14-$L$3)^2)</f>
        <v/>
      </c>
      <c r="E14">
        <f>SQRT((B14-$K$4)^2 + (C14-$L$4)^2)</f>
        <v/>
      </c>
      <c r="F14">
        <f>SQRT((B14-$K$5)^2 + (C14-$L$5)^2)</f>
        <v/>
      </c>
      <c r="G14">
        <f>MIN(D14:F14)</f>
        <v/>
      </c>
      <c r="H14">
        <f>MATCH(G14, D14:F14, 0)</f>
        <v/>
      </c>
    </row>
    <row r="15">
      <c r="A15" t="inlineStr">
        <is>
          <t>C14</t>
        </is>
      </c>
      <c r="B15" t="n">
        <v>0</v>
      </c>
      <c r="C15" t="n">
        <v>0.06572374033894433</v>
      </c>
      <c r="D15">
        <f>SQRT((B15-$K$3)^2 + (C15-$L$3)^2)</f>
        <v/>
      </c>
      <c r="E15">
        <f>SQRT((B15-$K$4)^2 + (C15-$L$4)^2)</f>
        <v/>
      </c>
      <c r="F15">
        <f>SQRT((B15-$K$5)^2 + (C15-$L$5)^2)</f>
        <v/>
      </c>
      <c r="G15">
        <f>MIN(D15:F15)</f>
        <v/>
      </c>
      <c r="H15">
        <f>MATCH(G15, D15:F15, 0)</f>
        <v/>
      </c>
    </row>
    <row r="16">
      <c r="A16" t="inlineStr">
        <is>
          <t>C15</t>
        </is>
      </c>
      <c r="B16" t="n">
        <v>0.005573606720031435</v>
      </c>
      <c r="C16" t="n">
        <v>0.09036247719992704</v>
      </c>
      <c r="D16">
        <f>SQRT((B16-$K$3)^2 + (C16-$L$3)^2)</f>
        <v/>
      </c>
      <c r="E16">
        <f>SQRT((B16-$K$4)^2 + (C16-$L$4)^2)</f>
        <v/>
      </c>
      <c r="F16">
        <f>SQRT((B16-$K$5)^2 + (C16-$L$5)^2)</f>
        <v/>
      </c>
      <c r="G16">
        <f>MIN(D16:F16)</f>
        <v/>
      </c>
      <c r="H16">
        <f>MATCH(G16, D16:F16, 0)</f>
        <v/>
      </c>
    </row>
    <row r="17">
      <c r="A17" t="inlineStr">
        <is>
          <t>C16</t>
        </is>
      </c>
      <c r="B17" t="n">
        <v>0.3228376516727327</v>
      </c>
      <c r="C17" t="n">
        <v>0.7165695066865025</v>
      </c>
      <c r="D17">
        <f>SQRT((B17-$K$3)^2 + (C17-$L$3)^2)</f>
        <v/>
      </c>
      <c r="E17">
        <f>SQRT((B17-$K$4)^2 + (C17-$L$4)^2)</f>
        <v/>
      </c>
      <c r="F17">
        <f>SQRT((B17-$K$5)^2 + (C17-$L$5)^2)</f>
        <v/>
      </c>
      <c r="G17">
        <f>MIN(D17:F17)</f>
        <v/>
      </c>
      <c r="H17">
        <f>MATCH(G17, D17:F17, 0)</f>
        <v/>
      </c>
    </row>
    <row r="18">
      <c r="A18" t="inlineStr">
        <is>
          <t>C17</t>
        </is>
      </c>
      <c r="B18" t="n">
        <v>0.4438591973039984</v>
      </c>
      <c r="C18" t="n">
        <v>0.7579134080515808</v>
      </c>
      <c r="D18">
        <f>SQRT((B18-$K$3)^2 + (C18-$L$3)^2)</f>
        <v/>
      </c>
      <c r="E18">
        <f>SQRT((B18-$K$4)^2 + (C18-$L$4)^2)</f>
        <v/>
      </c>
      <c r="F18">
        <f>SQRT((B18-$K$5)^2 + (C18-$L$5)^2)</f>
        <v/>
      </c>
      <c r="G18">
        <f>MIN(D18:F18)</f>
        <v/>
      </c>
      <c r="H18">
        <f>MATCH(G18, D18:F18, 0)</f>
        <v/>
      </c>
    </row>
    <row r="19">
      <c r="A19" t="inlineStr">
        <is>
          <t>C18</t>
        </is>
      </c>
      <c r="B19" t="n">
        <v>0.3518459851080712</v>
      </c>
      <c r="C19" t="n">
        <v>1</v>
      </c>
      <c r="D19">
        <f>SQRT((B19-$K$3)^2 + (C19-$L$3)^2)</f>
        <v/>
      </c>
      <c r="E19">
        <f>SQRT((B19-$K$4)^2 + (C19-$L$4)^2)</f>
        <v/>
      </c>
      <c r="F19">
        <f>SQRT((B19-$K$5)^2 + (C19-$L$5)^2)</f>
        <v/>
      </c>
      <c r="G19">
        <f>MIN(D19:F19)</f>
        <v/>
      </c>
      <c r="H19">
        <f>MATCH(G19, D19:F19, 0)</f>
        <v/>
      </c>
    </row>
    <row r="20">
      <c r="A20" t="inlineStr">
        <is>
          <t>C19</t>
        </is>
      </c>
      <c r="B20" t="n">
        <v>0.3003491882975233</v>
      </c>
      <c r="C20" t="n">
        <v>0.8861943766597188</v>
      </c>
      <c r="D20">
        <f>SQRT((B20-$K$3)^2 + (C20-$L$3)^2)</f>
        <v/>
      </c>
      <c r="E20">
        <f>SQRT((B20-$K$4)^2 + (C20-$L$4)^2)</f>
        <v/>
      </c>
      <c r="F20">
        <f>SQRT((B20-$K$5)^2 + (C20-$L$5)^2)</f>
        <v/>
      </c>
      <c r="G20">
        <f>MIN(D20:F20)</f>
        <v/>
      </c>
      <c r="H20">
        <f>MATCH(G20, D20:F20, 0)</f>
        <v/>
      </c>
    </row>
    <row r="21">
      <c r="A21" t="inlineStr">
        <is>
          <t>C20</t>
        </is>
      </c>
      <c r="B21" t="n">
        <v>0.3930765223745852</v>
      </c>
      <c r="C21" t="n">
        <v>0.5501772011750714</v>
      </c>
      <c r="D21">
        <f>SQRT((B21-$K$3)^2 + (C21-$L$3)^2)</f>
        <v/>
      </c>
      <c r="E21">
        <f>SQRT((B21-$K$4)^2 + (C21-$L$4)^2)</f>
        <v/>
      </c>
      <c r="F21">
        <f>SQRT((B21-$K$5)^2 + (C21-$L$5)^2)</f>
        <v/>
      </c>
      <c r="G21">
        <f>MIN(D21:F21)</f>
        <v/>
      </c>
      <c r="H21">
        <f>MATCH(G21, D21:F21, 0)</f>
        <v/>
      </c>
    </row>
    <row r="22">
      <c r="A22" t="inlineStr">
        <is>
          <t>C21</t>
        </is>
      </c>
      <c r="B22" t="n">
        <v>0.2923040797595549</v>
      </c>
      <c r="C22" t="n">
        <v>0.8830786048052155</v>
      </c>
      <c r="D22">
        <f>SQRT((B22-$K$3)^2 + (C22-$L$3)^2)</f>
        <v/>
      </c>
      <c r="E22">
        <f>SQRT((B22-$K$4)^2 + (C22-$L$4)^2)</f>
        <v/>
      </c>
      <c r="F22">
        <f>SQRT((B22-$K$5)^2 + (C22-$L$5)^2)</f>
        <v/>
      </c>
      <c r="G22">
        <f>MIN(D22:F22)</f>
        <v/>
      </c>
      <c r="H22">
        <f>MATCH(G22, D22:F22, 0)</f>
        <v/>
      </c>
    </row>
    <row r="23">
      <c r="A23" t="inlineStr">
        <is>
          <t>C22</t>
        </is>
      </c>
      <c r="B23" t="n">
        <v>0.3628120066290125</v>
      </c>
      <c r="C23" t="n">
        <v>0.7699648531270918</v>
      </c>
      <c r="D23">
        <f>SQRT((B23-$K$3)^2 + (C23-$L$3)^2)</f>
        <v/>
      </c>
      <c r="E23">
        <f>SQRT((B23-$K$4)^2 + (C23-$L$4)^2)</f>
        <v/>
      </c>
      <c r="F23">
        <f>SQRT((B23-$K$5)^2 + (C23-$L$5)^2)</f>
        <v/>
      </c>
      <c r="G23">
        <f>MIN(D23:F23)</f>
        <v/>
      </c>
      <c r="H23">
        <f>MATCH(G23, D23:F23, 0)</f>
        <v/>
      </c>
    </row>
    <row r="24">
      <c r="A24" t="inlineStr">
        <is>
          <t>C23</t>
        </is>
      </c>
      <c r="B24" t="n">
        <v>0.2558678630622965</v>
      </c>
      <c r="C24" t="n">
        <v>0.723415703877247</v>
      </c>
      <c r="D24">
        <f>SQRT((B24-$K$3)^2 + (C24-$L$3)^2)</f>
        <v/>
      </c>
      <c r="E24">
        <f>SQRT((B24-$K$4)^2 + (C24-$L$4)^2)</f>
        <v/>
      </c>
      <c r="F24">
        <f>SQRT((B24-$K$5)^2 + (C24-$L$5)^2)</f>
        <v/>
      </c>
      <c r="G24">
        <f>MIN(D24:F24)</f>
        <v/>
      </c>
      <c r="H24">
        <f>MATCH(G24, D24:F24, 0)</f>
        <v/>
      </c>
    </row>
    <row r="25">
      <c r="A25" t="inlineStr">
        <is>
          <t>C24</t>
        </is>
      </c>
      <c r="B25" t="n">
        <v>0.2870103456470905</v>
      </c>
      <c r="C25" t="n">
        <v>0.9289502832938961</v>
      </c>
      <c r="D25">
        <f>SQRT((B25-$K$3)^2 + (C25-$L$3)^2)</f>
        <v/>
      </c>
      <c r="E25">
        <f>SQRT((B25-$K$4)^2 + (C25-$L$4)^2)</f>
        <v/>
      </c>
      <c r="F25">
        <f>SQRT((B25-$K$5)^2 + (C25-$L$5)^2)</f>
        <v/>
      </c>
      <c r="G25">
        <f>MIN(D25:F25)</f>
        <v/>
      </c>
      <c r="H25">
        <f>MATCH(G25, D25:F25, 0)</f>
        <v/>
      </c>
    </row>
    <row r="26">
      <c r="A26" t="inlineStr">
        <is>
          <t>C25</t>
        </is>
      </c>
      <c r="B26" t="n">
        <v>0.3622200942195525</v>
      </c>
      <c r="C26" t="n">
        <v>0.9958333648522224</v>
      </c>
      <c r="D26">
        <f>SQRT((B26-$K$3)^2 + (C26-$L$3)^2)</f>
        <v/>
      </c>
      <c r="E26">
        <f>SQRT((B26-$K$4)^2 + (C26-$L$4)^2)</f>
        <v/>
      </c>
      <c r="F26">
        <f>SQRT((B26-$K$5)^2 + (C26-$L$5)^2)</f>
        <v/>
      </c>
      <c r="G26">
        <f>MIN(D26:F26)</f>
        <v/>
      </c>
      <c r="H26">
        <f>MATCH(G26, D26:F26, 0)</f>
        <v/>
      </c>
    </row>
    <row r="27">
      <c r="A27" t="inlineStr">
        <is>
          <t>C26</t>
        </is>
      </c>
      <c r="B27" t="n">
        <v>0.3889300868631238</v>
      </c>
      <c r="C27" t="n">
        <v>0.9799278760695959</v>
      </c>
      <c r="D27">
        <f>SQRT((B27-$K$3)^2 + (C27-$L$3)^2)</f>
        <v/>
      </c>
      <c r="E27">
        <f>SQRT((B27-$K$4)^2 + (C27-$L$4)^2)</f>
        <v/>
      </c>
      <c r="F27">
        <f>SQRT((B27-$K$5)^2 + (C27-$L$5)^2)</f>
        <v/>
      </c>
      <c r="G27">
        <f>MIN(D27:F27)</f>
        <v/>
      </c>
      <c r="H27">
        <f>MATCH(G27, D27:F27, 0)</f>
        <v/>
      </c>
    </row>
    <row r="28">
      <c r="A28" t="inlineStr">
        <is>
          <t>C27</t>
        </is>
      </c>
      <c r="B28" t="n">
        <v>0.3609628750297353</v>
      </c>
      <c r="C28" t="n">
        <v>0.6975291709485321</v>
      </c>
      <c r="D28">
        <f>SQRT((B28-$K$3)^2 + (C28-$L$3)^2)</f>
        <v/>
      </c>
      <c r="E28">
        <f>SQRT((B28-$K$4)^2 + (C28-$L$4)^2)</f>
        <v/>
      </c>
      <c r="F28">
        <f>SQRT((B28-$K$5)^2 + (C28-$L$5)^2)</f>
        <v/>
      </c>
      <c r="G28">
        <f>MIN(D28:F28)</f>
        <v/>
      </c>
      <c r="H28">
        <f>MATCH(G28, D28:F28, 0)</f>
        <v/>
      </c>
    </row>
    <row r="29">
      <c r="A29" t="inlineStr">
        <is>
          <t>C28</t>
        </is>
      </c>
      <c r="B29" t="n">
        <v>0.3468082689408234</v>
      </c>
      <c r="C29" t="n">
        <v>0.7820662885057575</v>
      </c>
      <c r="D29">
        <f>SQRT((B29-$K$3)^2 + (C29-$L$3)^2)</f>
        <v/>
      </c>
      <c r="E29">
        <f>SQRT((B29-$K$4)^2 + (C29-$L$4)^2)</f>
        <v/>
      </c>
      <c r="F29">
        <f>SQRT((B29-$K$5)^2 + (C29-$L$5)^2)</f>
        <v/>
      </c>
      <c r="G29">
        <f>MIN(D29:F29)</f>
        <v/>
      </c>
      <c r="H29">
        <f>MATCH(G29, D29:F29, 0)</f>
        <v/>
      </c>
    </row>
    <row r="30">
      <c r="A30" t="inlineStr">
        <is>
          <t>C29</t>
        </is>
      </c>
      <c r="B30" t="n">
        <v>0.3376622869522199</v>
      </c>
      <c r="C30" t="n">
        <v>0.8842237465587306</v>
      </c>
      <c r="D30">
        <f>SQRT((B30-$K$3)^2 + (C30-$L$3)^2)</f>
        <v/>
      </c>
      <c r="E30">
        <f>SQRT((B30-$K$4)^2 + (C30-$L$4)^2)</f>
        <v/>
      </c>
      <c r="F30">
        <f>SQRT((B30-$K$5)^2 + (C30-$L$5)^2)</f>
        <v/>
      </c>
      <c r="G30">
        <f>MIN(D30:F30)</f>
        <v/>
      </c>
      <c r="H30">
        <f>MATCH(G30, D30:F30, 0)</f>
        <v/>
      </c>
    </row>
    <row r="31">
      <c r="A31" t="inlineStr">
        <is>
          <t>C30</t>
        </is>
      </c>
      <c r="B31" t="n">
        <v>0.2795963274246909</v>
      </c>
      <c r="C31" t="n">
        <v>0.9869882531320585</v>
      </c>
      <c r="D31">
        <f>SQRT((B31-$K$3)^2 + (C31-$L$3)^2)</f>
        <v/>
      </c>
      <c r="E31">
        <f>SQRT((B31-$K$4)^2 + (C31-$L$4)^2)</f>
        <v/>
      </c>
      <c r="F31">
        <f>SQRT((B31-$K$5)^2 + (C31-$L$5)^2)</f>
        <v/>
      </c>
      <c r="G31">
        <f>MIN(D31:F31)</f>
        <v/>
      </c>
      <c r="H31">
        <f>MATCH(G31, D31:F31, 0)</f>
        <v/>
      </c>
    </row>
    <row r="32">
      <c r="A32" t="inlineStr">
        <is>
          <t>C31</t>
        </is>
      </c>
      <c r="B32" t="n">
        <v>0.7984127686461293</v>
      </c>
      <c r="C32" t="n">
        <v>0.4577554480350342</v>
      </c>
      <c r="D32">
        <f>SQRT((B32-$K$3)^2 + (C32-$L$3)^2)</f>
        <v/>
      </c>
      <c r="E32">
        <f>SQRT((B32-$K$4)^2 + (C32-$L$4)^2)</f>
        <v/>
      </c>
      <c r="F32">
        <f>SQRT((B32-$K$5)^2 + (C32-$L$5)^2)</f>
        <v/>
      </c>
      <c r="G32">
        <f>MIN(D32:F32)</f>
        <v/>
      </c>
      <c r="H32">
        <f>MATCH(G32, D32:F32, 0)</f>
        <v/>
      </c>
    </row>
    <row r="33">
      <c r="A33" t="inlineStr">
        <is>
          <t>C32</t>
        </is>
      </c>
      <c r="B33" t="n">
        <v>0.8273629647693975</v>
      </c>
      <c r="C33" t="n">
        <v>0.3639864562425841</v>
      </c>
      <c r="D33">
        <f>SQRT((B33-$K$3)^2 + (C33-$L$3)^2)</f>
        <v/>
      </c>
      <c r="E33">
        <f>SQRT((B33-$K$4)^2 + (C33-$L$4)^2)</f>
        <v/>
      </c>
      <c r="F33">
        <f>SQRT((B33-$K$5)^2 + (C33-$L$5)^2)</f>
        <v/>
      </c>
      <c r="G33">
        <f>MIN(D33:F33)</f>
        <v/>
      </c>
      <c r="H33">
        <f>MATCH(G33, D33:F33, 0)</f>
        <v/>
      </c>
    </row>
    <row r="34">
      <c r="A34" t="inlineStr">
        <is>
          <t>C33</t>
        </is>
      </c>
      <c r="B34" t="n">
        <v>0.7365542259605382</v>
      </c>
      <c r="C34" t="n">
        <v>0.3147251568920725</v>
      </c>
      <c r="D34">
        <f>SQRT((B34-$K$3)^2 + (C34-$L$3)^2)</f>
        <v/>
      </c>
      <c r="E34">
        <f>SQRT((B34-$K$4)^2 + (C34-$L$4)^2)</f>
        <v/>
      </c>
      <c r="F34">
        <f>SQRT((B34-$K$5)^2 + (C34-$L$5)^2)</f>
        <v/>
      </c>
      <c r="G34">
        <f>MIN(D34:F34)</f>
        <v/>
      </c>
      <c r="H34">
        <f>MATCH(G34, D34:F34, 0)</f>
        <v/>
      </c>
    </row>
    <row r="35">
      <c r="A35" t="inlineStr">
        <is>
          <t>C34</t>
        </is>
      </c>
      <c r="B35" t="n">
        <v>0.7276899444744248</v>
      </c>
      <c r="C35" t="n">
        <v>0.3645879346462385</v>
      </c>
      <c r="D35">
        <f>SQRT((B35-$K$3)^2 + (C35-$L$3)^2)</f>
        <v/>
      </c>
      <c r="E35">
        <f>SQRT((B35-$K$4)^2 + (C35-$L$4)^2)</f>
        <v/>
      </c>
      <c r="F35">
        <f>SQRT((B35-$K$5)^2 + (C35-$L$5)^2)</f>
        <v/>
      </c>
      <c r="G35">
        <f>MIN(D35:F35)</f>
        <v/>
      </c>
      <c r="H35">
        <f>MATCH(G35, D35:F35, 0)</f>
        <v/>
      </c>
    </row>
    <row r="36">
      <c r="A36" t="inlineStr">
        <is>
          <t>C35</t>
        </is>
      </c>
      <c r="B36" t="n">
        <v>0.9258166042281234</v>
      </c>
      <c r="C36" t="n">
        <v>0.09926139672619692</v>
      </c>
      <c r="D36">
        <f>SQRT((B36-$K$3)^2 + (C36-$L$3)^2)</f>
        <v/>
      </c>
      <c r="E36">
        <f>SQRT((B36-$K$4)^2 + (C36-$L$4)^2)</f>
        <v/>
      </c>
      <c r="F36">
        <f>SQRT((B36-$K$5)^2 + (C36-$L$5)^2)</f>
        <v/>
      </c>
      <c r="G36">
        <f>MIN(D36:F36)</f>
        <v/>
      </c>
      <c r="H36">
        <f>MATCH(G36, D36:F36, 0)</f>
        <v/>
      </c>
    </row>
    <row r="37">
      <c r="A37" t="inlineStr">
        <is>
          <t>C36</t>
        </is>
      </c>
      <c r="B37" t="n">
        <v>0.9794445922259545</v>
      </c>
      <c r="C37" t="n">
        <v>0.3248485171861114</v>
      </c>
      <c r="D37">
        <f>SQRT((B37-$K$3)^2 + (C37-$L$3)^2)</f>
        <v/>
      </c>
      <c r="E37">
        <f>SQRT((B37-$K$4)^2 + (C37-$L$4)^2)</f>
        <v/>
      </c>
      <c r="F37">
        <f>SQRT((B37-$K$5)^2 + (C37-$L$5)^2)</f>
        <v/>
      </c>
      <c r="G37">
        <f>MIN(D37:F37)</f>
        <v/>
      </c>
      <c r="H37">
        <f>MATCH(G37, D37:F37, 0)</f>
        <v/>
      </c>
    </row>
    <row r="38">
      <c r="A38" t="inlineStr">
        <is>
          <t>C37</t>
        </is>
      </c>
      <c r="B38" t="n">
        <v>0.8385724556510913</v>
      </c>
      <c r="C38" t="n">
        <v>0.3984473429892404</v>
      </c>
      <c r="D38">
        <f>SQRT((B38-$K$3)^2 + (C38-$L$3)^2)</f>
        <v/>
      </c>
      <c r="E38">
        <f>SQRT((B38-$K$4)^2 + (C38-$L$4)^2)</f>
        <v/>
      </c>
      <c r="F38">
        <f>SQRT((B38-$K$5)^2 + (C38-$L$5)^2)</f>
        <v/>
      </c>
      <c r="G38">
        <f>MIN(D38:F38)</f>
        <v/>
      </c>
      <c r="H38">
        <f>MATCH(G38, D38:F38, 0)</f>
        <v/>
      </c>
    </row>
    <row r="39">
      <c r="A39" t="inlineStr">
        <is>
          <t>C38</t>
        </is>
      </c>
      <c r="B39" t="n">
        <v>0.9446561435227261</v>
      </c>
      <c r="C39" t="n">
        <v>0.5414612523873495</v>
      </c>
      <c r="D39">
        <f>SQRT((B39-$K$3)^2 + (C39-$L$3)^2)</f>
        <v/>
      </c>
      <c r="E39">
        <f>SQRT((B39-$K$4)^2 + (C39-$L$4)^2)</f>
        <v/>
      </c>
      <c r="F39">
        <f>SQRT((B39-$K$5)^2 + (C39-$L$5)^2)</f>
        <v/>
      </c>
      <c r="G39">
        <f>MIN(D39:F39)</f>
        <v/>
      </c>
      <c r="H39">
        <f>MATCH(G39, D39:F39, 0)</f>
        <v/>
      </c>
    </row>
    <row r="40">
      <c r="A40" t="inlineStr">
        <is>
          <t>C39</t>
        </is>
      </c>
      <c r="B40" t="n">
        <v>0.8813441362187237</v>
      </c>
      <c r="C40" t="n">
        <v>0.2867467858536329</v>
      </c>
      <c r="D40">
        <f>SQRT((B40-$K$3)^2 + (C40-$L$3)^2)</f>
        <v/>
      </c>
      <c r="E40">
        <f>SQRT((B40-$K$4)^2 + (C40-$L$4)^2)</f>
        <v/>
      </c>
      <c r="F40">
        <f>SQRT((B40-$K$5)^2 + (C40-$L$5)^2)</f>
        <v/>
      </c>
      <c r="G40">
        <f>MIN(D40:F40)</f>
        <v/>
      </c>
      <c r="H40">
        <f>MATCH(G40, D40:F40, 0)</f>
        <v/>
      </c>
    </row>
    <row r="41">
      <c r="A41" t="inlineStr">
        <is>
          <t>C40</t>
        </is>
      </c>
      <c r="B41" t="n">
        <v>0.7820451179943835</v>
      </c>
      <c r="C41" t="n">
        <v>0.2497137139974546</v>
      </c>
      <c r="D41">
        <f>SQRT((B41-$K$3)^2 + (C41-$L$3)^2)</f>
        <v/>
      </c>
      <c r="E41">
        <f>SQRT((B41-$K$4)^2 + (C41-$L$4)^2)</f>
        <v/>
      </c>
      <c r="F41">
        <f>SQRT((B41-$K$5)^2 + (C41-$L$5)^2)</f>
        <v/>
      </c>
      <c r="G41">
        <f>MIN(D41:F41)</f>
        <v/>
      </c>
      <c r="H41">
        <f>MATCH(G41, D41:F41, 0)</f>
        <v/>
      </c>
    </row>
    <row r="42">
      <c r="A42" t="inlineStr">
        <is>
          <t>C41</t>
        </is>
      </c>
      <c r="B42" t="n">
        <v>0.8813204229958259</v>
      </c>
      <c r="C42" t="n">
        <v>0.2888538992609042</v>
      </c>
      <c r="D42">
        <f>SQRT((B42-$K$3)^2 + (C42-$L$3)^2)</f>
        <v/>
      </c>
      <c r="E42">
        <f>SQRT((B42-$K$4)^2 + (C42-$L$4)^2)</f>
        <v/>
      </c>
      <c r="F42">
        <f>SQRT((B42-$K$5)^2 + (C42-$L$5)^2)</f>
        <v/>
      </c>
      <c r="G42">
        <f>MIN(D42:F42)</f>
        <v/>
      </c>
      <c r="H42">
        <f>MATCH(G42, D42:F42, 0)</f>
        <v/>
      </c>
    </row>
    <row r="43">
      <c r="A43" t="inlineStr">
        <is>
          <t>C42</t>
        </is>
      </c>
      <c r="B43" t="n">
        <v>0.9973756715347801</v>
      </c>
      <c r="C43" t="n">
        <v>0.4696861816780081</v>
      </c>
      <c r="D43">
        <f>SQRT((B43-$K$3)^2 + (C43-$L$3)^2)</f>
        <v/>
      </c>
      <c r="E43">
        <f>SQRT((B43-$K$4)^2 + (C43-$L$4)^2)</f>
        <v/>
      </c>
      <c r="F43">
        <f>SQRT((B43-$K$5)^2 + (C43-$L$5)^2)</f>
        <v/>
      </c>
      <c r="G43">
        <f>MIN(D43:F43)</f>
        <v/>
      </c>
      <c r="H43">
        <f>MATCH(G43, D43:F43, 0)</f>
        <v/>
      </c>
    </row>
    <row r="44">
      <c r="A44" t="inlineStr">
        <is>
          <t>C43</t>
        </is>
      </c>
      <c r="B44" t="n">
        <v>0.8421413885912099</v>
      </c>
      <c r="C44" t="n">
        <v>0.3948283649524067</v>
      </c>
      <c r="D44">
        <f>SQRT((B44-$K$3)^2 + (C44-$L$3)^2)</f>
        <v/>
      </c>
      <c r="E44">
        <f>SQRT((B44-$K$4)^2 + (C44-$L$4)^2)</f>
        <v/>
      </c>
      <c r="F44">
        <f>SQRT((B44-$K$5)^2 + (C44-$L$5)^2)</f>
        <v/>
      </c>
      <c r="G44">
        <f>MIN(D44:F44)</f>
        <v/>
      </c>
      <c r="H44">
        <f>MATCH(G44, D44:F44, 0)</f>
        <v/>
      </c>
    </row>
    <row r="45">
      <c r="A45" t="inlineStr">
        <is>
          <t>C44</t>
        </is>
      </c>
      <c r="B45" t="n">
        <v>1</v>
      </c>
      <c r="C45" t="n">
        <v>0.2852806412183169</v>
      </c>
      <c r="D45">
        <f>SQRT((B45-$K$3)^2 + (C45-$L$3)^2)</f>
        <v/>
      </c>
      <c r="E45">
        <f>SQRT((B45-$K$4)^2 + (C45-$L$4)^2)</f>
        <v/>
      </c>
      <c r="F45">
        <f>SQRT((B45-$K$5)^2 + (C45-$L$5)^2)</f>
        <v/>
      </c>
      <c r="G45">
        <f>MIN(D45:F45)</f>
        <v/>
      </c>
      <c r="H45">
        <f>MATCH(G45, D45:F45, 0)</f>
        <v/>
      </c>
    </row>
    <row r="46">
      <c r="A46" t="inlineStr">
        <is>
          <t>C45</t>
        </is>
      </c>
      <c r="B46" t="n">
        <v>0.5872825325415867</v>
      </c>
      <c r="C46" t="n">
        <v>0.4183730089308905</v>
      </c>
      <c r="D46">
        <f>SQRT((B46-$K$3)^2 + (C46-$L$3)^2)</f>
        <v/>
      </c>
      <c r="E46">
        <f>SQRT((B46-$K$4)^2 + (C46-$L$4)^2)</f>
        <v/>
      </c>
      <c r="F46">
        <f>SQRT((B46-$K$5)^2 + (C46-$L$5)^2)</f>
        <v/>
      </c>
      <c r="G46">
        <f>MIN(D46:F46)</f>
        <v/>
      </c>
      <c r="H46">
        <f>MATCH(G46, D46:F46, 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inlineStr">
        <is>
          <t>CENTROIDES ACTUALIZADOS</t>
        </is>
      </c>
      <c r="K1" s="1" t="n"/>
      <c r="L1" s="1" t="n"/>
    </row>
    <row r="2">
      <c r="A2" t="inlineStr">
        <is>
          <t>C1</t>
        </is>
      </c>
      <c r="B2" t="n">
        <v>0.07131126012424849</v>
      </c>
      <c r="C2" t="n">
        <v>0.06878229231221972</v>
      </c>
      <c r="D2">
        <f>SQRT((B2-$K$3)^2 + (C2-$L$3)^2)</f>
        <v/>
      </c>
      <c r="E2">
        <f>SQRT((B2-$K$4)^2 + (C2-$L$4)^2)</f>
        <v/>
      </c>
      <c r="F2">
        <f>SQRT((B2-$K$5)^2 + (C2-$L$5)^2)</f>
        <v/>
      </c>
      <c r="G2">
        <f>MIN(D2:F2)</f>
        <v/>
      </c>
      <c r="H2">
        <f>MATCH(G2, D2:F2, 0)</f>
        <v/>
      </c>
      <c r="K2" t="inlineStr">
        <is>
          <t>X (Media_Ingreso)</t>
        </is>
      </c>
      <c r="L2" t="inlineStr">
        <is>
          <t>Y (Media_Gasto)</t>
        </is>
      </c>
    </row>
    <row r="3">
      <c r="A3" t="inlineStr">
        <is>
          <t>C2</t>
        </is>
      </c>
      <c r="B3" t="n">
        <v>0.05252237258023932</v>
      </c>
      <c r="C3" t="n">
        <v>0.03285088984016974</v>
      </c>
      <c r="D3">
        <f>SQRT((B3-$K$3)^2 + (C3-$L$3)^2)</f>
        <v/>
      </c>
      <c r="E3">
        <f>SQRT((B3-$K$4)^2 + (C3-$L$4)^2)</f>
        <v/>
      </c>
      <c r="F3">
        <f>SQRT((B3-$K$5)^2 + (C3-$L$5)^2)</f>
        <v/>
      </c>
      <c r="G3">
        <f>MIN(D3:F3)</f>
        <v/>
      </c>
      <c r="H3">
        <f>MATCH(G3, D3:F3, 0)</f>
        <v/>
      </c>
      <c r="J3" t="inlineStr">
        <is>
          <t>Centroide 1</t>
        </is>
      </c>
      <c r="K3">
        <f>AVERAGEIF('3_KMeans_Iteracion_1'!$H$2:$H$46, 1, '3_KMeans_Iteracion_1'!$B$2:$B$46)</f>
        <v/>
      </c>
      <c r="L3">
        <f>AVERAGEIF('3_KMeans_Iteracion_1'!$H$2:$H$46, 1, '3_KMeans_Iteracion_1'!$C$2:$C$46)</f>
        <v/>
      </c>
    </row>
    <row r="4">
      <c r="A4" t="inlineStr">
        <is>
          <t>C3</t>
        </is>
      </c>
      <c r="B4" t="n">
        <v>0.07577856247882081</v>
      </c>
      <c r="C4" t="n">
        <v>0.1386870196771867</v>
      </c>
      <c r="D4">
        <f>SQRT((B4-$K$3)^2 + (C4-$L$3)^2)</f>
        <v/>
      </c>
      <c r="E4">
        <f>SQRT((B4-$K$4)^2 + (C4-$L$4)^2)</f>
        <v/>
      </c>
      <c r="F4">
        <f>SQRT((B4-$K$5)^2 + (C4-$L$5)^2)</f>
        <v/>
      </c>
      <c r="G4">
        <f>MIN(D4:F4)</f>
        <v/>
      </c>
      <c r="H4">
        <f>MATCH(G4, D4:F4, 0)</f>
        <v/>
      </c>
      <c r="J4" t="inlineStr">
        <is>
          <t>Centroide 2</t>
        </is>
      </c>
      <c r="K4">
        <f>AVERAGEIF('3_KMeans_Iteracion_1'!$H$2:$H$46, 2, '3_KMeans_Iteracion_1'!$B$2:$B$46)</f>
        <v/>
      </c>
      <c r="L4">
        <f>AVERAGEIF('3_KMeans_Iteracion_1'!$H$2:$H$46, 2, '3_KMeans_Iteracion_1'!$C$2:$C$46)</f>
        <v/>
      </c>
    </row>
    <row r="5">
      <c r="A5" t="inlineStr">
        <is>
          <t>C4</t>
        </is>
      </c>
      <c r="B5" t="n">
        <v>0.1016797398872379</v>
      </c>
      <c r="C5" t="n">
        <v>0.04120937985874959</v>
      </c>
      <c r="D5">
        <f>SQRT((B5-$K$3)^2 + (C5-$L$3)^2)</f>
        <v/>
      </c>
      <c r="E5">
        <f>SQRT((B5-$K$4)^2 + (C5-$L$4)^2)</f>
        <v/>
      </c>
      <c r="F5">
        <f>SQRT((B5-$K$5)^2 + (C5-$L$5)^2)</f>
        <v/>
      </c>
      <c r="G5">
        <f>MIN(D5:F5)</f>
        <v/>
      </c>
      <c r="H5">
        <f>MATCH(G5, D5:F5, 0)</f>
        <v/>
      </c>
      <c r="J5" t="inlineStr">
        <is>
          <t>Centroide 3</t>
        </is>
      </c>
      <c r="K5">
        <f>AVERAGEIF('3_KMeans_Iteracion_1'!$H$2:$H$46, 3, '3_KMeans_Iteracion_1'!$B$2:$B$46)</f>
        <v/>
      </c>
      <c r="L5">
        <f>AVERAGEIF('3_KMeans_Iteracion_1'!$H$2:$H$46, 3, '3_KMeans_Iteracion_1'!$C$2:$C$46)</f>
        <v/>
      </c>
    </row>
    <row r="6">
      <c r="A6" t="inlineStr">
        <is>
          <t>C5</t>
        </is>
      </c>
      <c r="B6" t="n">
        <v>0.04968503375747507</v>
      </c>
      <c r="C6" t="n">
        <v>0.0009924628905040741</v>
      </c>
      <c r="D6">
        <f>SQRT((B6-$K$3)^2 + (C6-$L$3)^2)</f>
        <v/>
      </c>
      <c r="E6">
        <f>SQRT((B6-$K$4)^2 + (C6-$L$4)^2)</f>
        <v/>
      </c>
      <c r="F6">
        <f>SQRT((B6-$K$5)^2 + (C6-$L$5)^2)</f>
        <v/>
      </c>
      <c r="G6">
        <f>MIN(D6:F6)</f>
        <v/>
      </c>
      <c r="H6">
        <f>MATCH(G6, D6:F6, 0)</f>
        <v/>
      </c>
    </row>
    <row r="7">
      <c r="A7" t="inlineStr">
        <is>
          <t>C6</t>
        </is>
      </c>
      <c r="B7" t="n">
        <v>0.04968551955618255</v>
      </c>
      <c r="C7" t="n">
        <v>0.2305126925607563</v>
      </c>
      <c r="D7">
        <f>SQRT((B7-$K$3)^2 + (C7-$L$3)^2)</f>
        <v/>
      </c>
      <c r="E7">
        <f>SQRT((B7-$K$4)^2 + (C7-$L$4)^2)</f>
        <v/>
      </c>
      <c r="F7">
        <f>SQRT((B7-$K$5)^2 + (C7-$L$5)^2)</f>
        <v/>
      </c>
      <c r="G7">
        <f>MIN(D7:F7)</f>
        <v/>
      </c>
      <c r="H7">
        <f>MATCH(G7, D7:F7, 0)</f>
        <v/>
      </c>
    </row>
    <row r="8">
      <c r="A8" t="inlineStr">
        <is>
          <t>C7</t>
        </is>
      </c>
      <c r="B8" t="n">
        <v>0.1033421825944741</v>
      </c>
      <c r="C8" t="n">
        <v>0.095619474409061</v>
      </c>
      <c r="D8">
        <f>SQRT((B8-$K$3)^2 + (C8-$L$3)^2)</f>
        <v/>
      </c>
      <c r="E8">
        <f>SQRT((B8-$K$4)^2 + (C8-$L$4)^2)</f>
        <v/>
      </c>
      <c r="F8">
        <f>SQRT((B8-$K$5)^2 + (C8-$L$5)^2)</f>
        <v/>
      </c>
      <c r="G8">
        <f>MIN(D8:F8)</f>
        <v/>
      </c>
      <c r="H8">
        <f>MATCH(G8, D8:F8, 0)</f>
        <v/>
      </c>
    </row>
    <row r="9">
      <c r="A9" t="inlineStr">
        <is>
          <t>C8</t>
        </is>
      </c>
      <c r="B9" t="n">
        <v>0.07932182871515388</v>
      </c>
      <c r="C9" t="n">
        <v>0.1190108674520996</v>
      </c>
      <c r="D9">
        <f>SQRT((B9-$K$3)^2 + (C9-$L$3)^2)</f>
        <v/>
      </c>
      <c r="E9">
        <f>SQRT((B9-$K$4)^2 + (C9-$L$4)^2)</f>
        <v/>
      </c>
      <c r="F9">
        <f>SQRT((B9-$K$5)^2 + (C9-$L$5)^2)</f>
        <v/>
      </c>
      <c r="G9">
        <f>MIN(D9:F9)</f>
        <v/>
      </c>
      <c r="H9">
        <f>MATCH(G9, D9:F9, 0)</f>
        <v/>
      </c>
    </row>
    <row r="10">
      <c r="A10" t="inlineStr">
        <is>
          <t>C9</t>
        </is>
      </c>
      <c r="B10" t="n">
        <v>0.04272193132892024</v>
      </c>
      <c r="C10" t="n">
        <v>0</v>
      </c>
      <c r="D10">
        <f>SQRT((B10-$K$3)^2 + (C10-$L$3)^2)</f>
        <v/>
      </c>
      <c r="E10">
        <f>SQRT((B10-$K$4)^2 + (C10-$L$4)^2)</f>
        <v/>
      </c>
      <c r="F10">
        <f>SQRT((B10-$K$5)^2 + (C10-$L$5)^2)</f>
        <v/>
      </c>
      <c r="G10">
        <f>MIN(D10:F10)</f>
        <v/>
      </c>
      <c r="H10">
        <f>MATCH(G10, D10:F10, 0)</f>
        <v/>
      </c>
    </row>
    <row r="11">
      <c r="A11" t="inlineStr">
        <is>
          <t>C10</t>
        </is>
      </c>
      <c r="B11" t="n">
        <v>0.07266783100738609</v>
      </c>
      <c r="C11" t="n">
        <v>0.07021022238856403</v>
      </c>
      <c r="D11">
        <f>SQRT((B11-$K$3)^2 + (C11-$L$3)^2)</f>
        <v/>
      </c>
      <c r="E11">
        <f>SQRT((B11-$K$4)^2 + (C11-$L$4)^2)</f>
        <v/>
      </c>
      <c r="F11">
        <f>SQRT((B11-$K$5)^2 + (C11-$L$5)^2)</f>
        <v/>
      </c>
      <c r="G11">
        <f>MIN(D11:F11)</f>
        <v/>
      </c>
      <c r="H11">
        <f>MATCH(G11, D11:F11, 0)</f>
        <v/>
      </c>
    </row>
    <row r="12">
      <c r="A12" t="inlineStr">
        <is>
          <t>C11</t>
        </is>
      </c>
      <c r="B12" t="n">
        <v>0.04290114768692021</v>
      </c>
      <c r="C12" t="n">
        <v>0.122471622735437</v>
      </c>
      <c r="D12">
        <f>SQRT((B12-$K$3)^2 + (C12-$L$3)^2)</f>
        <v/>
      </c>
      <c r="E12">
        <f>SQRT((B12-$K$4)^2 + (C12-$L$4)^2)</f>
        <v/>
      </c>
      <c r="F12">
        <f>SQRT((B12-$K$5)^2 + (C12-$L$5)^2)</f>
        <v/>
      </c>
      <c r="G12">
        <f>MIN(D12:F12)</f>
        <v/>
      </c>
      <c r="H12">
        <f>MATCH(G12, D12:F12, 0)</f>
        <v/>
      </c>
    </row>
    <row r="13">
      <c r="A13" t="inlineStr">
        <is>
          <t>C12</t>
        </is>
      </c>
      <c r="B13" t="n">
        <v>0.04283273426393402</v>
      </c>
      <c r="C13" t="n">
        <v>0.02183226489401619</v>
      </c>
      <c r="D13">
        <f>SQRT((B13-$K$3)^2 + (C13-$L$3)^2)</f>
        <v/>
      </c>
      <c r="E13">
        <f>SQRT((B13-$K$4)^2 + (C13-$L$4)^2)</f>
        <v/>
      </c>
      <c r="F13">
        <f>SQRT((B13-$K$5)^2 + (C13-$L$5)^2)</f>
        <v/>
      </c>
      <c r="G13">
        <f>MIN(D13:F13)</f>
        <v/>
      </c>
      <c r="H13">
        <f>MATCH(G13, D13:F13, 0)</f>
        <v/>
      </c>
    </row>
    <row r="14">
      <c r="A14" t="inlineStr">
        <is>
          <t>C13</t>
        </is>
      </c>
      <c r="B14" t="n">
        <v>0.06377320206799275</v>
      </c>
      <c r="C14" t="n">
        <v>0.1435877870291809</v>
      </c>
      <c r="D14">
        <f>SQRT((B14-$K$3)^2 + (C14-$L$3)^2)</f>
        <v/>
      </c>
      <c r="E14">
        <f>SQRT((B14-$K$4)^2 + (C14-$L$4)^2)</f>
        <v/>
      </c>
      <c r="F14">
        <f>SQRT((B14-$K$5)^2 + (C14-$L$5)^2)</f>
        <v/>
      </c>
      <c r="G14">
        <f>MIN(D14:F14)</f>
        <v/>
      </c>
      <c r="H14">
        <f>MATCH(G14, D14:F14, 0)</f>
        <v/>
      </c>
    </row>
    <row r="15">
      <c r="A15" t="inlineStr">
        <is>
          <t>C14</t>
        </is>
      </c>
      <c r="B15" t="n">
        <v>0</v>
      </c>
      <c r="C15" t="n">
        <v>0.06572374033894433</v>
      </c>
      <c r="D15">
        <f>SQRT((B15-$K$3)^2 + (C15-$L$3)^2)</f>
        <v/>
      </c>
      <c r="E15">
        <f>SQRT((B15-$K$4)^2 + (C15-$L$4)^2)</f>
        <v/>
      </c>
      <c r="F15">
        <f>SQRT((B15-$K$5)^2 + (C15-$L$5)^2)</f>
        <v/>
      </c>
      <c r="G15">
        <f>MIN(D15:F15)</f>
        <v/>
      </c>
      <c r="H15">
        <f>MATCH(G15, D15:F15, 0)</f>
        <v/>
      </c>
    </row>
    <row r="16">
      <c r="A16" t="inlineStr">
        <is>
          <t>C15</t>
        </is>
      </c>
      <c r="B16" t="n">
        <v>0.005573606720031435</v>
      </c>
      <c r="C16" t="n">
        <v>0.09036247719992704</v>
      </c>
      <c r="D16">
        <f>SQRT((B16-$K$3)^2 + (C16-$L$3)^2)</f>
        <v/>
      </c>
      <c r="E16">
        <f>SQRT((B16-$K$4)^2 + (C16-$L$4)^2)</f>
        <v/>
      </c>
      <c r="F16">
        <f>SQRT((B16-$K$5)^2 + (C16-$L$5)^2)</f>
        <v/>
      </c>
      <c r="G16">
        <f>MIN(D16:F16)</f>
        <v/>
      </c>
      <c r="H16">
        <f>MATCH(G16, D16:F16, 0)</f>
        <v/>
      </c>
    </row>
    <row r="17">
      <c r="A17" t="inlineStr">
        <is>
          <t>C16</t>
        </is>
      </c>
      <c r="B17" t="n">
        <v>0.3228376516727327</v>
      </c>
      <c r="C17" t="n">
        <v>0.7165695066865025</v>
      </c>
      <c r="D17">
        <f>SQRT((B17-$K$3)^2 + (C17-$L$3)^2)</f>
        <v/>
      </c>
      <c r="E17">
        <f>SQRT((B17-$K$4)^2 + (C17-$L$4)^2)</f>
        <v/>
      </c>
      <c r="F17">
        <f>SQRT((B17-$K$5)^2 + (C17-$L$5)^2)</f>
        <v/>
      </c>
      <c r="G17">
        <f>MIN(D17:F17)</f>
        <v/>
      </c>
      <c r="H17">
        <f>MATCH(G17, D17:F17, 0)</f>
        <v/>
      </c>
    </row>
    <row r="18">
      <c r="A18" t="inlineStr">
        <is>
          <t>C17</t>
        </is>
      </c>
      <c r="B18" t="n">
        <v>0.4438591973039984</v>
      </c>
      <c r="C18" t="n">
        <v>0.7579134080515808</v>
      </c>
      <c r="D18">
        <f>SQRT((B18-$K$3)^2 + (C18-$L$3)^2)</f>
        <v/>
      </c>
      <c r="E18">
        <f>SQRT((B18-$K$4)^2 + (C18-$L$4)^2)</f>
        <v/>
      </c>
      <c r="F18">
        <f>SQRT((B18-$K$5)^2 + (C18-$L$5)^2)</f>
        <v/>
      </c>
      <c r="G18">
        <f>MIN(D18:F18)</f>
        <v/>
      </c>
      <c r="H18">
        <f>MATCH(G18, D18:F18, 0)</f>
        <v/>
      </c>
    </row>
    <row r="19">
      <c r="A19" t="inlineStr">
        <is>
          <t>C18</t>
        </is>
      </c>
      <c r="B19" t="n">
        <v>0.3518459851080712</v>
      </c>
      <c r="C19" t="n">
        <v>1</v>
      </c>
      <c r="D19">
        <f>SQRT((B19-$K$3)^2 + (C19-$L$3)^2)</f>
        <v/>
      </c>
      <c r="E19">
        <f>SQRT((B19-$K$4)^2 + (C19-$L$4)^2)</f>
        <v/>
      </c>
      <c r="F19">
        <f>SQRT((B19-$K$5)^2 + (C19-$L$5)^2)</f>
        <v/>
      </c>
      <c r="G19">
        <f>MIN(D19:F19)</f>
        <v/>
      </c>
      <c r="H19">
        <f>MATCH(G19, D19:F19, 0)</f>
        <v/>
      </c>
    </row>
    <row r="20">
      <c r="A20" t="inlineStr">
        <is>
          <t>C19</t>
        </is>
      </c>
      <c r="B20" t="n">
        <v>0.3003491882975233</v>
      </c>
      <c r="C20" t="n">
        <v>0.8861943766597188</v>
      </c>
      <c r="D20">
        <f>SQRT((B20-$K$3)^2 + (C20-$L$3)^2)</f>
        <v/>
      </c>
      <c r="E20">
        <f>SQRT((B20-$K$4)^2 + (C20-$L$4)^2)</f>
        <v/>
      </c>
      <c r="F20">
        <f>SQRT((B20-$K$5)^2 + (C20-$L$5)^2)</f>
        <v/>
      </c>
      <c r="G20">
        <f>MIN(D20:F20)</f>
        <v/>
      </c>
      <c r="H20">
        <f>MATCH(G20, D20:F20, 0)</f>
        <v/>
      </c>
    </row>
    <row r="21">
      <c r="A21" t="inlineStr">
        <is>
          <t>C20</t>
        </is>
      </c>
      <c r="B21" t="n">
        <v>0.3930765223745852</v>
      </c>
      <c r="C21" t="n">
        <v>0.5501772011750714</v>
      </c>
      <c r="D21">
        <f>SQRT((B21-$K$3)^2 + (C21-$L$3)^2)</f>
        <v/>
      </c>
      <c r="E21">
        <f>SQRT((B21-$K$4)^2 + (C21-$L$4)^2)</f>
        <v/>
      </c>
      <c r="F21">
        <f>SQRT((B21-$K$5)^2 + (C21-$L$5)^2)</f>
        <v/>
      </c>
      <c r="G21">
        <f>MIN(D21:F21)</f>
        <v/>
      </c>
      <c r="H21">
        <f>MATCH(G21, D21:F21, 0)</f>
        <v/>
      </c>
    </row>
    <row r="22">
      <c r="A22" t="inlineStr">
        <is>
          <t>C21</t>
        </is>
      </c>
      <c r="B22" t="n">
        <v>0.2923040797595549</v>
      </c>
      <c r="C22" t="n">
        <v>0.8830786048052155</v>
      </c>
      <c r="D22">
        <f>SQRT((B22-$K$3)^2 + (C22-$L$3)^2)</f>
        <v/>
      </c>
      <c r="E22">
        <f>SQRT((B22-$K$4)^2 + (C22-$L$4)^2)</f>
        <v/>
      </c>
      <c r="F22">
        <f>SQRT((B22-$K$5)^2 + (C22-$L$5)^2)</f>
        <v/>
      </c>
      <c r="G22">
        <f>MIN(D22:F22)</f>
        <v/>
      </c>
      <c r="H22">
        <f>MATCH(G22, D22:F22, 0)</f>
        <v/>
      </c>
    </row>
    <row r="23">
      <c r="A23" t="inlineStr">
        <is>
          <t>C22</t>
        </is>
      </c>
      <c r="B23" t="n">
        <v>0.3628120066290125</v>
      </c>
      <c r="C23" t="n">
        <v>0.7699648531270918</v>
      </c>
      <c r="D23">
        <f>SQRT((B23-$K$3)^2 + (C23-$L$3)^2)</f>
        <v/>
      </c>
      <c r="E23">
        <f>SQRT((B23-$K$4)^2 + (C23-$L$4)^2)</f>
        <v/>
      </c>
      <c r="F23">
        <f>SQRT((B23-$K$5)^2 + (C23-$L$5)^2)</f>
        <v/>
      </c>
      <c r="G23">
        <f>MIN(D23:F23)</f>
        <v/>
      </c>
      <c r="H23">
        <f>MATCH(G23, D23:F23, 0)</f>
        <v/>
      </c>
    </row>
    <row r="24">
      <c r="A24" t="inlineStr">
        <is>
          <t>C23</t>
        </is>
      </c>
      <c r="B24" t="n">
        <v>0.2558678630622965</v>
      </c>
      <c r="C24" t="n">
        <v>0.723415703877247</v>
      </c>
      <c r="D24">
        <f>SQRT((B24-$K$3)^2 + (C24-$L$3)^2)</f>
        <v/>
      </c>
      <c r="E24">
        <f>SQRT((B24-$K$4)^2 + (C24-$L$4)^2)</f>
        <v/>
      </c>
      <c r="F24">
        <f>SQRT((B24-$K$5)^2 + (C24-$L$5)^2)</f>
        <v/>
      </c>
      <c r="G24">
        <f>MIN(D24:F24)</f>
        <v/>
      </c>
      <c r="H24">
        <f>MATCH(G24, D24:F24, 0)</f>
        <v/>
      </c>
    </row>
    <row r="25">
      <c r="A25" t="inlineStr">
        <is>
          <t>C24</t>
        </is>
      </c>
      <c r="B25" t="n">
        <v>0.2870103456470905</v>
      </c>
      <c r="C25" t="n">
        <v>0.9289502832938961</v>
      </c>
      <c r="D25">
        <f>SQRT((B25-$K$3)^2 + (C25-$L$3)^2)</f>
        <v/>
      </c>
      <c r="E25">
        <f>SQRT((B25-$K$4)^2 + (C25-$L$4)^2)</f>
        <v/>
      </c>
      <c r="F25">
        <f>SQRT((B25-$K$5)^2 + (C25-$L$5)^2)</f>
        <v/>
      </c>
      <c r="G25">
        <f>MIN(D25:F25)</f>
        <v/>
      </c>
      <c r="H25">
        <f>MATCH(G25, D25:F25, 0)</f>
        <v/>
      </c>
    </row>
    <row r="26">
      <c r="A26" t="inlineStr">
        <is>
          <t>C25</t>
        </is>
      </c>
      <c r="B26" t="n">
        <v>0.3622200942195525</v>
      </c>
      <c r="C26" t="n">
        <v>0.9958333648522224</v>
      </c>
      <c r="D26">
        <f>SQRT((B26-$K$3)^2 + (C26-$L$3)^2)</f>
        <v/>
      </c>
      <c r="E26">
        <f>SQRT((B26-$K$4)^2 + (C26-$L$4)^2)</f>
        <v/>
      </c>
      <c r="F26">
        <f>SQRT((B26-$K$5)^2 + (C26-$L$5)^2)</f>
        <v/>
      </c>
      <c r="G26">
        <f>MIN(D26:F26)</f>
        <v/>
      </c>
      <c r="H26">
        <f>MATCH(G26, D26:F26, 0)</f>
        <v/>
      </c>
    </row>
    <row r="27">
      <c r="A27" t="inlineStr">
        <is>
          <t>C26</t>
        </is>
      </c>
      <c r="B27" t="n">
        <v>0.3889300868631238</v>
      </c>
      <c r="C27" t="n">
        <v>0.9799278760695959</v>
      </c>
      <c r="D27">
        <f>SQRT((B27-$K$3)^2 + (C27-$L$3)^2)</f>
        <v/>
      </c>
      <c r="E27">
        <f>SQRT((B27-$K$4)^2 + (C27-$L$4)^2)</f>
        <v/>
      </c>
      <c r="F27">
        <f>SQRT((B27-$K$5)^2 + (C27-$L$5)^2)</f>
        <v/>
      </c>
      <c r="G27">
        <f>MIN(D27:F27)</f>
        <v/>
      </c>
      <c r="H27">
        <f>MATCH(G27, D27:F27, 0)</f>
        <v/>
      </c>
    </row>
    <row r="28">
      <c r="A28" t="inlineStr">
        <is>
          <t>C27</t>
        </is>
      </c>
      <c r="B28" t="n">
        <v>0.3609628750297353</v>
      </c>
      <c r="C28" t="n">
        <v>0.6975291709485321</v>
      </c>
      <c r="D28">
        <f>SQRT((B28-$K$3)^2 + (C28-$L$3)^2)</f>
        <v/>
      </c>
      <c r="E28">
        <f>SQRT((B28-$K$4)^2 + (C28-$L$4)^2)</f>
        <v/>
      </c>
      <c r="F28">
        <f>SQRT((B28-$K$5)^2 + (C28-$L$5)^2)</f>
        <v/>
      </c>
      <c r="G28">
        <f>MIN(D28:F28)</f>
        <v/>
      </c>
      <c r="H28">
        <f>MATCH(G28, D28:F28, 0)</f>
        <v/>
      </c>
    </row>
    <row r="29">
      <c r="A29" t="inlineStr">
        <is>
          <t>C28</t>
        </is>
      </c>
      <c r="B29" t="n">
        <v>0.3468082689408234</v>
      </c>
      <c r="C29" t="n">
        <v>0.7820662885057575</v>
      </c>
      <c r="D29">
        <f>SQRT((B29-$K$3)^2 + (C29-$L$3)^2)</f>
        <v/>
      </c>
      <c r="E29">
        <f>SQRT((B29-$K$4)^2 + (C29-$L$4)^2)</f>
        <v/>
      </c>
      <c r="F29">
        <f>SQRT((B29-$K$5)^2 + (C29-$L$5)^2)</f>
        <v/>
      </c>
      <c r="G29">
        <f>MIN(D29:F29)</f>
        <v/>
      </c>
      <c r="H29">
        <f>MATCH(G29, D29:F29, 0)</f>
        <v/>
      </c>
    </row>
    <row r="30">
      <c r="A30" t="inlineStr">
        <is>
          <t>C29</t>
        </is>
      </c>
      <c r="B30" t="n">
        <v>0.3376622869522199</v>
      </c>
      <c r="C30" t="n">
        <v>0.8842237465587306</v>
      </c>
      <c r="D30">
        <f>SQRT((B30-$K$3)^2 + (C30-$L$3)^2)</f>
        <v/>
      </c>
      <c r="E30">
        <f>SQRT((B30-$K$4)^2 + (C30-$L$4)^2)</f>
        <v/>
      </c>
      <c r="F30">
        <f>SQRT((B30-$K$5)^2 + (C30-$L$5)^2)</f>
        <v/>
      </c>
      <c r="G30">
        <f>MIN(D30:F30)</f>
        <v/>
      </c>
      <c r="H30">
        <f>MATCH(G30, D30:F30, 0)</f>
        <v/>
      </c>
    </row>
    <row r="31">
      <c r="A31" t="inlineStr">
        <is>
          <t>C30</t>
        </is>
      </c>
      <c r="B31" t="n">
        <v>0.2795963274246909</v>
      </c>
      <c r="C31" t="n">
        <v>0.9869882531320585</v>
      </c>
      <c r="D31">
        <f>SQRT((B31-$K$3)^2 + (C31-$L$3)^2)</f>
        <v/>
      </c>
      <c r="E31">
        <f>SQRT((B31-$K$4)^2 + (C31-$L$4)^2)</f>
        <v/>
      </c>
      <c r="F31">
        <f>SQRT((B31-$K$5)^2 + (C31-$L$5)^2)</f>
        <v/>
      </c>
      <c r="G31">
        <f>MIN(D31:F31)</f>
        <v/>
      </c>
      <c r="H31">
        <f>MATCH(G31, D31:F31, 0)</f>
        <v/>
      </c>
    </row>
    <row r="32">
      <c r="A32" t="inlineStr">
        <is>
          <t>C31</t>
        </is>
      </c>
      <c r="B32" t="n">
        <v>0.7984127686461293</v>
      </c>
      <c r="C32" t="n">
        <v>0.4577554480350342</v>
      </c>
      <c r="D32">
        <f>SQRT((B32-$K$3)^2 + (C32-$L$3)^2)</f>
        <v/>
      </c>
      <c r="E32">
        <f>SQRT((B32-$K$4)^2 + (C32-$L$4)^2)</f>
        <v/>
      </c>
      <c r="F32">
        <f>SQRT((B32-$K$5)^2 + (C32-$L$5)^2)</f>
        <v/>
      </c>
      <c r="G32">
        <f>MIN(D32:F32)</f>
        <v/>
      </c>
      <c r="H32">
        <f>MATCH(G32, D32:F32, 0)</f>
        <v/>
      </c>
    </row>
    <row r="33">
      <c r="A33" t="inlineStr">
        <is>
          <t>C32</t>
        </is>
      </c>
      <c r="B33" t="n">
        <v>0.8273629647693975</v>
      </c>
      <c r="C33" t="n">
        <v>0.3639864562425841</v>
      </c>
      <c r="D33">
        <f>SQRT((B33-$K$3)^2 + (C33-$L$3)^2)</f>
        <v/>
      </c>
      <c r="E33">
        <f>SQRT((B33-$K$4)^2 + (C33-$L$4)^2)</f>
        <v/>
      </c>
      <c r="F33">
        <f>SQRT((B33-$K$5)^2 + (C33-$L$5)^2)</f>
        <v/>
      </c>
      <c r="G33">
        <f>MIN(D33:F33)</f>
        <v/>
      </c>
      <c r="H33">
        <f>MATCH(G33, D33:F33, 0)</f>
        <v/>
      </c>
    </row>
    <row r="34">
      <c r="A34" t="inlineStr">
        <is>
          <t>C33</t>
        </is>
      </c>
      <c r="B34" t="n">
        <v>0.7365542259605382</v>
      </c>
      <c r="C34" t="n">
        <v>0.3147251568920725</v>
      </c>
      <c r="D34">
        <f>SQRT((B34-$K$3)^2 + (C34-$L$3)^2)</f>
        <v/>
      </c>
      <c r="E34">
        <f>SQRT((B34-$K$4)^2 + (C34-$L$4)^2)</f>
        <v/>
      </c>
      <c r="F34">
        <f>SQRT((B34-$K$5)^2 + (C34-$L$5)^2)</f>
        <v/>
      </c>
      <c r="G34">
        <f>MIN(D34:F34)</f>
        <v/>
      </c>
      <c r="H34">
        <f>MATCH(G34, D34:F34, 0)</f>
        <v/>
      </c>
    </row>
    <row r="35">
      <c r="A35" t="inlineStr">
        <is>
          <t>C34</t>
        </is>
      </c>
      <c r="B35" t="n">
        <v>0.7276899444744248</v>
      </c>
      <c r="C35" t="n">
        <v>0.3645879346462385</v>
      </c>
      <c r="D35">
        <f>SQRT((B35-$K$3)^2 + (C35-$L$3)^2)</f>
        <v/>
      </c>
      <c r="E35">
        <f>SQRT((B35-$K$4)^2 + (C35-$L$4)^2)</f>
        <v/>
      </c>
      <c r="F35">
        <f>SQRT((B35-$K$5)^2 + (C35-$L$5)^2)</f>
        <v/>
      </c>
      <c r="G35">
        <f>MIN(D35:F35)</f>
        <v/>
      </c>
      <c r="H35">
        <f>MATCH(G35, D35:F35, 0)</f>
        <v/>
      </c>
    </row>
    <row r="36">
      <c r="A36" t="inlineStr">
        <is>
          <t>C35</t>
        </is>
      </c>
      <c r="B36" t="n">
        <v>0.9258166042281234</v>
      </c>
      <c r="C36" t="n">
        <v>0.09926139672619692</v>
      </c>
      <c r="D36">
        <f>SQRT((B36-$K$3)^2 + (C36-$L$3)^2)</f>
        <v/>
      </c>
      <c r="E36">
        <f>SQRT((B36-$K$4)^2 + (C36-$L$4)^2)</f>
        <v/>
      </c>
      <c r="F36">
        <f>SQRT((B36-$K$5)^2 + (C36-$L$5)^2)</f>
        <v/>
      </c>
      <c r="G36">
        <f>MIN(D36:F36)</f>
        <v/>
      </c>
      <c r="H36">
        <f>MATCH(G36, D36:F36, 0)</f>
        <v/>
      </c>
    </row>
    <row r="37">
      <c r="A37" t="inlineStr">
        <is>
          <t>C36</t>
        </is>
      </c>
      <c r="B37" t="n">
        <v>0.9794445922259545</v>
      </c>
      <c r="C37" t="n">
        <v>0.3248485171861114</v>
      </c>
      <c r="D37">
        <f>SQRT((B37-$K$3)^2 + (C37-$L$3)^2)</f>
        <v/>
      </c>
      <c r="E37">
        <f>SQRT((B37-$K$4)^2 + (C37-$L$4)^2)</f>
        <v/>
      </c>
      <c r="F37">
        <f>SQRT((B37-$K$5)^2 + (C37-$L$5)^2)</f>
        <v/>
      </c>
      <c r="G37">
        <f>MIN(D37:F37)</f>
        <v/>
      </c>
      <c r="H37">
        <f>MATCH(G37, D37:F37, 0)</f>
        <v/>
      </c>
    </row>
    <row r="38">
      <c r="A38" t="inlineStr">
        <is>
          <t>C37</t>
        </is>
      </c>
      <c r="B38" t="n">
        <v>0.8385724556510913</v>
      </c>
      <c r="C38" t="n">
        <v>0.3984473429892404</v>
      </c>
      <c r="D38">
        <f>SQRT((B38-$K$3)^2 + (C38-$L$3)^2)</f>
        <v/>
      </c>
      <c r="E38">
        <f>SQRT((B38-$K$4)^2 + (C38-$L$4)^2)</f>
        <v/>
      </c>
      <c r="F38">
        <f>SQRT((B38-$K$5)^2 + (C38-$L$5)^2)</f>
        <v/>
      </c>
      <c r="G38">
        <f>MIN(D38:F38)</f>
        <v/>
      </c>
      <c r="H38">
        <f>MATCH(G38, D38:F38, 0)</f>
        <v/>
      </c>
    </row>
    <row r="39">
      <c r="A39" t="inlineStr">
        <is>
          <t>C38</t>
        </is>
      </c>
      <c r="B39" t="n">
        <v>0.9446561435227261</v>
      </c>
      <c r="C39" t="n">
        <v>0.5414612523873495</v>
      </c>
      <c r="D39">
        <f>SQRT((B39-$K$3)^2 + (C39-$L$3)^2)</f>
        <v/>
      </c>
      <c r="E39">
        <f>SQRT((B39-$K$4)^2 + (C39-$L$4)^2)</f>
        <v/>
      </c>
      <c r="F39">
        <f>SQRT((B39-$K$5)^2 + (C39-$L$5)^2)</f>
        <v/>
      </c>
      <c r="G39">
        <f>MIN(D39:F39)</f>
        <v/>
      </c>
      <c r="H39">
        <f>MATCH(G39, D39:F39, 0)</f>
        <v/>
      </c>
    </row>
    <row r="40">
      <c r="A40" t="inlineStr">
        <is>
          <t>C39</t>
        </is>
      </c>
      <c r="B40" t="n">
        <v>0.8813441362187237</v>
      </c>
      <c r="C40" t="n">
        <v>0.2867467858536329</v>
      </c>
      <c r="D40">
        <f>SQRT((B40-$K$3)^2 + (C40-$L$3)^2)</f>
        <v/>
      </c>
      <c r="E40">
        <f>SQRT((B40-$K$4)^2 + (C40-$L$4)^2)</f>
        <v/>
      </c>
      <c r="F40">
        <f>SQRT((B40-$K$5)^2 + (C40-$L$5)^2)</f>
        <v/>
      </c>
      <c r="G40">
        <f>MIN(D40:F40)</f>
        <v/>
      </c>
      <c r="H40">
        <f>MATCH(G40, D40:F40, 0)</f>
        <v/>
      </c>
    </row>
    <row r="41">
      <c r="A41" t="inlineStr">
        <is>
          <t>C40</t>
        </is>
      </c>
      <c r="B41" t="n">
        <v>0.7820451179943835</v>
      </c>
      <c r="C41" t="n">
        <v>0.2497137139974546</v>
      </c>
      <c r="D41">
        <f>SQRT((B41-$K$3)^2 + (C41-$L$3)^2)</f>
        <v/>
      </c>
      <c r="E41">
        <f>SQRT((B41-$K$4)^2 + (C41-$L$4)^2)</f>
        <v/>
      </c>
      <c r="F41">
        <f>SQRT((B41-$K$5)^2 + (C41-$L$5)^2)</f>
        <v/>
      </c>
      <c r="G41">
        <f>MIN(D41:F41)</f>
        <v/>
      </c>
      <c r="H41">
        <f>MATCH(G41, D41:F41, 0)</f>
        <v/>
      </c>
    </row>
    <row r="42">
      <c r="A42" t="inlineStr">
        <is>
          <t>C41</t>
        </is>
      </c>
      <c r="B42" t="n">
        <v>0.8813204229958259</v>
      </c>
      <c r="C42" t="n">
        <v>0.2888538992609042</v>
      </c>
      <c r="D42">
        <f>SQRT((B42-$K$3)^2 + (C42-$L$3)^2)</f>
        <v/>
      </c>
      <c r="E42">
        <f>SQRT((B42-$K$4)^2 + (C42-$L$4)^2)</f>
        <v/>
      </c>
      <c r="F42">
        <f>SQRT((B42-$K$5)^2 + (C42-$L$5)^2)</f>
        <v/>
      </c>
      <c r="G42">
        <f>MIN(D42:F42)</f>
        <v/>
      </c>
      <c r="H42">
        <f>MATCH(G42, D42:F42, 0)</f>
        <v/>
      </c>
    </row>
    <row r="43">
      <c r="A43" t="inlineStr">
        <is>
          <t>C42</t>
        </is>
      </c>
      <c r="B43" t="n">
        <v>0.9973756715347801</v>
      </c>
      <c r="C43" t="n">
        <v>0.4696861816780081</v>
      </c>
      <c r="D43">
        <f>SQRT((B43-$K$3)^2 + (C43-$L$3)^2)</f>
        <v/>
      </c>
      <c r="E43">
        <f>SQRT((B43-$K$4)^2 + (C43-$L$4)^2)</f>
        <v/>
      </c>
      <c r="F43">
        <f>SQRT((B43-$K$5)^2 + (C43-$L$5)^2)</f>
        <v/>
      </c>
      <c r="G43">
        <f>MIN(D43:F43)</f>
        <v/>
      </c>
      <c r="H43">
        <f>MATCH(G43, D43:F43, 0)</f>
        <v/>
      </c>
    </row>
    <row r="44">
      <c r="A44" t="inlineStr">
        <is>
          <t>C43</t>
        </is>
      </c>
      <c r="B44" t="n">
        <v>0.8421413885912099</v>
      </c>
      <c r="C44" t="n">
        <v>0.3948283649524067</v>
      </c>
      <c r="D44">
        <f>SQRT((B44-$K$3)^2 + (C44-$L$3)^2)</f>
        <v/>
      </c>
      <c r="E44">
        <f>SQRT((B44-$K$4)^2 + (C44-$L$4)^2)</f>
        <v/>
      </c>
      <c r="F44">
        <f>SQRT((B44-$K$5)^2 + (C44-$L$5)^2)</f>
        <v/>
      </c>
      <c r="G44">
        <f>MIN(D44:F44)</f>
        <v/>
      </c>
      <c r="H44">
        <f>MATCH(G44, D44:F44, 0)</f>
        <v/>
      </c>
    </row>
    <row r="45">
      <c r="A45" t="inlineStr">
        <is>
          <t>C44</t>
        </is>
      </c>
      <c r="B45" t="n">
        <v>1</v>
      </c>
      <c r="C45" t="n">
        <v>0.2852806412183169</v>
      </c>
      <c r="D45">
        <f>SQRT((B45-$K$3)^2 + (C45-$L$3)^2)</f>
        <v/>
      </c>
      <c r="E45">
        <f>SQRT((B45-$K$4)^2 + (C45-$L$4)^2)</f>
        <v/>
      </c>
      <c r="F45">
        <f>SQRT((B45-$K$5)^2 + (C45-$L$5)^2)</f>
        <v/>
      </c>
      <c r="G45">
        <f>MIN(D45:F45)</f>
        <v/>
      </c>
      <c r="H45">
        <f>MATCH(G45, D45:F45, 0)</f>
        <v/>
      </c>
    </row>
    <row r="46">
      <c r="A46" t="inlineStr">
        <is>
          <t>C45</t>
        </is>
      </c>
      <c r="B46" t="n">
        <v>0.5872825325415867</v>
      </c>
      <c r="C46" t="n">
        <v>0.4183730089308905</v>
      </c>
      <c r="D46">
        <f>SQRT((B46-$K$3)^2 + (C46-$L$3)^2)</f>
        <v/>
      </c>
      <c r="E46">
        <f>SQRT((B46-$K$4)^2 + (C46-$L$4)^2)</f>
        <v/>
      </c>
      <c r="F46">
        <f>SQRT((B46-$K$5)^2 + (C46-$L$5)^2)</f>
        <v/>
      </c>
      <c r="G46">
        <f>MIN(D46:F46)</f>
        <v/>
      </c>
      <c r="H46">
        <f>MATCH(G46, D46:F46, 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8" customWidth="1" min="5" max="5"/>
    <col width="65" customWidth="1" min="6" max="6"/>
  </cols>
  <sheetData>
    <row r="1">
      <c r="A1" s="2" t="inlineStr">
        <is>
          <t>MÉTODO DEL CODO (WCSS - Inercia)</t>
        </is>
      </c>
      <c r="E1" s="2" t="inlineStr">
        <is>
          <t>MÉTRICA SILHOUETTE SCORE</t>
        </is>
      </c>
    </row>
    <row r="2">
      <c r="A2" t="inlineStr">
        <is>
          <t>K</t>
        </is>
      </c>
      <c r="B2" t="inlineStr">
        <is>
          <t>WCSS Simulada</t>
        </is>
      </c>
      <c r="C2" t="inlineStr">
        <is>
          <t>Tasa de Caída %</t>
        </is>
      </c>
    </row>
    <row r="3">
      <c r="A3" t="n">
        <v>1</v>
      </c>
      <c r="B3" t="n">
        <v>15.42</v>
      </c>
      <c r="E3" t="inlineStr">
        <is>
          <t>Cohesión a(i):</t>
        </is>
      </c>
      <c r="F3" t="inlineStr">
        <is>
          <t>Distancia promedio a los puntos de SU MISMO clúster.</t>
        </is>
      </c>
    </row>
    <row r="4">
      <c r="A4" t="n">
        <v>2</v>
      </c>
      <c r="B4" t="n">
        <v>6.21</v>
      </c>
      <c r="C4" s="3">
        <f>(B3-B4)/B3</f>
        <v/>
      </c>
      <c r="E4" t="inlineStr">
        <is>
          <t>Separación b(i):</t>
        </is>
      </c>
      <c r="F4" t="inlineStr">
        <is>
          <t>Distancia promedio a los puntos del clúster VECINO MÁS CERCANO.</t>
        </is>
      </c>
    </row>
    <row r="5">
      <c r="A5" t="n">
        <v>3</v>
      </c>
      <c r="B5" t="n">
        <v>2.15</v>
      </c>
      <c r="C5" s="3">
        <f>(B4-B5)/B4</f>
        <v/>
      </c>
      <c r="E5" t="inlineStr">
        <is>
          <t>Silueta S(i):</t>
        </is>
      </c>
      <c r="F5">
        <f>( b(i) - a(i) ) / MAX( a(i), b(i) )</f>
        <v/>
      </c>
    </row>
    <row r="6">
      <c r="A6" t="n">
        <v>4</v>
      </c>
      <c r="B6" t="n">
        <v>1.8</v>
      </c>
      <c r="C6" s="3">
        <f>(B5-B6)/B5</f>
        <v/>
      </c>
    </row>
    <row r="7">
      <c r="A7" t="n">
        <v>5</v>
      </c>
      <c r="B7" t="n">
        <v>1.55</v>
      </c>
      <c r="C7" s="3">
        <f>(B6-B7)/B6</f>
        <v/>
      </c>
    </row>
    <row r="9">
      <c r="A9" t="inlineStr">
        <is>
          <t>La Inercia exacta (K=3) del modelo se calcula sumando los cuadrados de las distancias mínimas en la hoja 4.</t>
        </is>
      </c>
    </row>
  </sheetData>
  <mergeCells count="2">
    <mergeCell ref="A1:C1"/>
    <mergeCell ref="E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2026-08-24T02:13:56Z</dcterms:created>
  <dcterms:modified xmlns:dcterms="http://purl.org/dc/terms/" xmlns:xsi="http://www.w3.org/2001/XMLSchema-instance" xsi:type="dcterms:W3CDTF">2026-08-24T02:13:56Z</dcterms:modified>
</cp:coreProperties>
</file>